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6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tudy Inputs" sheetId="1" r:id="rId4"/>
    <sheet state="visible" name="Densty" sheetId="2" r:id="rId5"/>
    <sheet state="visible" name="Wavelength" sheetId="3" r:id="rId6"/>
    <sheet state="visible" name="Calibration" sheetId="4" r:id="rId7"/>
    <sheet state="visible" name="Physical Tests" sheetId="5" r:id="rId8"/>
    <sheet state="visible" name="pH" sheetId="6" r:id="rId9"/>
    <sheet state="visible" name="Moisture" sheetId="7" r:id="rId10"/>
    <sheet state="visible" name="Drug Content" sheetId="8" r:id="rId11"/>
    <sheet state="visible" name="Dissolution" sheetId="9" r:id="rId12"/>
    <sheet state="visible" name="Kinetics" sheetId="10" r:id="rId13"/>
    <sheet state="visible" name="Similarity f2" sheetId="11" r:id="rId14"/>
    <sheet state="visible" name="Final Summary" sheetId="12" r:id="rId15"/>
    <sheet state="visible" name="Data Quality Notes" sheetId="13" r:id="rId16"/>
    <sheet state="visible" name="Reference Limits" sheetId="14" r:id="rId17"/>
    <sheet state="visible" name="Literature Benchmarks" sheetId="15" r:id="rId18"/>
    <sheet state="visible" name="QC Classification" sheetId="16" r:id="rId19"/>
    <sheet state="visible" name="Formula Assessment" sheetId="17" r:id="rId20"/>
    <sheet state="visible" name="QC Dashboard" sheetId="18" r:id="rId21"/>
  </sheets>
  <definedNames/>
  <calcPr/>
  <extLst>
    <ext uri="GoogleSheetsCustomDataVersion2">
      <go:sheetsCustomData xmlns:go="http://customooxmlschemas.google.com/" r:id="rId22" roundtripDataChecksum="cmiy4E6gkzewUxCu8RlKT78znvw7JjxRraXsLlouEik="/>
    </ext>
  </extLst>
</workbook>
</file>

<file path=xl/sharedStrings.xml><?xml version="1.0" encoding="utf-8"?>
<sst xmlns="http://schemas.openxmlformats.org/spreadsheetml/2006/main" count="964" uniqueCount="498">
  <si>
    <t>Nitrofurantoin Transdermal Patch - Final Results Inputs</t>
  </si>
  <si>
    <t>Parameter</t>
  </si>
  <si>
    <t>Value</t>
  </si>
  <si>
    <t>Unit / status</t>
  </si>
  <si>
    <t>Basis</t>
  </si>
  <si>
    <t>Use in analysis</t>
  </si>
  <si>
    <t>Note</t>
  </si>
  <si>
    <t>Final analytical wavelength</t>
  </si>
  <si>
    <t>nm</t>
  </si>
  <si>
    <t>Thickness (mm)</t>
  </si>
  <si>
    <t>User-confirmed final λmax</t>
  </si>
  <si>
    <t>UV calculations</t>
  </si>
  <si>
    <t>365 nm superseded</t>
  </si>
  <si>
    <t>Petri dish diameter</t>
  </si>
  <si>
    <t>mm</t>
  </si>
  <si>
    <t>Experimental method</t>
  </si>
  <si>
    <t>Area calculation</t>
  </si>
  <si>
    <t>Area = πr²</t>
  </si>
  <si>
    <t>Petri dish area</t>
  </si>
  <si>
    <t>Formula</t>
  </si>
  <si>
    <t>F1</t>
  </si>
  <si>
    <t>cm²</t>
  </si>
  <si>
    <t>F2</t>
  </si>
  <si>
    <t>Calculated from 100 mm diameter</t>
  </si>
  <si>
    <t>Area normalization</t>
  </si>
  <si>
    <t>F3</t>
  </si>
  <si>
    <t>F4</t>
  </si>
  <si>
    <t>Dissolution sample size</t>
  </si>
  <si>
    <t>F5</t>
  </si>
  <si>
    <t>2.5 × 2.5</t>
  </si>
  <si>
    <t>cm</t>
  </si>
  <si>
    <t>F6</t>
  </si>
  <si>
    <t>Previously documented method</t>
  </si>
  <si>
    <t>QC only</t>
  </si>
  <si>
    <t>Area = 6.25 cm²</t>
  </si>
  <si>
    <t>Drug-content sample size</t>
  </si>
  <si>
    <t>2 × 2</t>
  </si>
  <si>
    <t>Assay QC</t>
  </si>
  <si>
    <t>Area = 4 cm²</t>
  </si>
  <si>
    <t>Dissolution medium volume</t>
  </si>
  <si>
    <t>mL</t>
  </si>
  <si>
    <t>Dissolution</t>
  </si>
  <si>
    <t>Sample withdrawal / replacement</t>
  </si>
  <si>
    <t>Final result workbook</t>
  </si>
  <si>
    <t>Sampling correction</t>
  </si>
  <si>
    <t>Fresh buffer replacement</t>
  </si>
  <si>
    <t>Paddle speed</t>
  </si>
  <si>
    <t>rpm</t>
  </si>
  <si>
    <t>Temperature</t>
  </si>
  <si>
    <t>°C</t>
  </si>
  <si>
    <t>Calibration stock / analytical basis</t>
  </si>
  <si>
    <t>Regression of standards</t>
  </si>
  <si>
    <t>Experimental calibration</t>
  </si>
  <si>
    <t>All UV calculations</t>
  </si>
  <si>
    <t>Capsules used for extraction</t>
  </si>
  <si>
    <t>capsules</t>
  </si>
  <si>
    <t>F1 equivalence check</t>
  </si>
  <si>
    <t>Total capsule powder collected</t>
  </si>
  <si>
    <t>mg</t>
  </si>
  <si>
    <t>Average fill calculation</t>
  </si>
  <si>
    <t>Average capsule fill mass</t>
  </si>
  <si>
    <t>mg/capsule</t>
  </si>
  <si>
    <t>Calculated</t>
  </si>
  <si>
    <t>F1 equivalence</t>
  </si>
  <si>
    <t>Labelled Nitrofurantoin per capsule</t>
  </si>
  <si>
    <t>Product label</t>
  </si>
  <si>
    <t>F1 capsule powder used per cast</t>
  </si>
  <si>
    <t>mg powder</t>
  </si>
  <si>
    <t>User-confirmed</t>
  </si>
  <si>
    <t>F1 nominal drug</t>
  </si>
  <si>
    <t>Average</t>
  </si>
  <si>
    <t>Direct capsule powder, no extraction</t>
  </si>
  <si>
    <t>F1 nominal Nitrofurantoin per cast</t>
  </si>
  <si>
    <t>Based on powder fraction from 5 g/25 capsules</t>
  </si>
  <si>
    <t>Dose normalization</t>
  </si>
  <si>
    <t>20 mg capsule powder is nominally equivalent to 10 mg Nitrofurantoin (200 mg average fill contains 100 mg labeled drug)</t>
  </si>
  <si>
    <t>F2-F6 recovered Nitrofurantoin per cast</t>
  </si>
  <si>
    <t>Nominal dose used for dissolution %</t>
  </si>
  <si>
    <t>mg/cast</t>
  </si>
  <si>
    <t>Consistent nominal loading across F1-F6</t>
  </si>
  <si>
    <t>Nominal release index</t>
  </si>
  <si>
    <t>Exact tested-piece dose was not independently validated</t>
  </si>
  <si>
    <t>Exploratory comparator for f2</t>
  </si>
  <si>
    <t>Direct capsule-powder formulation</t>
  </si>
  <si>
    <t>Similarity analysis</t>
  </si>
  <si>
    <t>F1 differs in drug-processing route</t>
  </si>
  <si>
    <t>Initial gauge length for % elongation</t>
  </si>
  <si>
    <t>User-confirmed final value</t>
  </si>
  <si>
    <t>Required for % elongation</t>
  </si>
  <si>
    <t>Initial gauge length fixed at 5 cm</t>
  </si>
  <si>
    <t>Density sample size</t>
  </si>
  <si>
    <t>Density worksheet</t>
  </si>
  <si>
    <t>Density calculation</t>
  </si>
  <si>
    <t>Weight (g)</t>
  </si>
  <si>
    <t>Volume (cm³)</t>
  </si>
  <si>
    <t>Density (g/cm³)</t>
  </si>
  <si>
    <t>Nitrofurantoin Calibration Curve at 360 nm</t>
  </si>
  <si>
    <t>Calculation basis: volume = 4 cm² × mean thickness (mm ÷ 10). Density = weight (g) ÷ volume (cm³).</t>
  </si>
  <si>
    <t>Concentration (µg/mL)</t>
  </si>
  <si>
    <t>Absorbance</t>
  </si>
  <si>
    <t>Slope</t>
  </si>
  <si>
    <t>Intercept</t>
  </si>
  <si>
    <t>Corrected Density (g/cm³)</t>
  </si>
  <si>
    <t>R²</t>
  </si>
  <si>
    <t>Equation</t>
  </si>
  <si>
    <t>Final Physical Tests - Raw Measurements and Summary</t>
  </si>
  <si>
    <t>Weight mean (mg)</t>
  </si>
  <si>
    <t>Weight SD</t>
  </si>
  <si>
    <t>Weight CV %</t>
  </si>
  <si>
    <t>Thickness mean (µm)</t>
  </si>
  <si>
    <t>Thickness SD</t>
  </si>
  <si>
    <t>Thickness CV %</t>
  </si>
  <si>
    <t>Folding endurance</t>
  </si>
  <si>
    <t>Elongation reading mean (cm)</t>
  </si>
  <si>
    <t>Elongation SD</t>
  </si>
  <si>
    <t>% Elongation</t>
  </si>
  <si>
    <t>Rolling-ball tack mean (cm)</t>
  </si>
  <si>
    <t>Tack SD</t>
  </si>
  <si>
    <t>n tack</t>
  </si>
  <si>
    <t>pH</t>
  </si>
  <si>
    <t>&gt;=200</t>
  </si>
  <si>
    <t>Test</t>
  </si>
  <si>
    <t>Rep1</t>
  </si>
  <si>
    <t>Rep2</t>
  </si>
  <si>
    <t>Rep3</t>
  </si>
  <si>
    <t>Rep4</t>
  </si>
  <si>
    <t>Rep5</t>
  </si>
  <si>
    <t>Mean</t>
  </si>
  <si>
    <t>SD</t>
  </si>
  <si>
    <t>CV % / note</t>
  </si>
  <si>
    <t>Weight (mg)</t>
  </si>
  <si>
    <t>Thickness (µm)</t>
  </si>
  <si>
    <t>Elongation reading (cm)</t>
  </si>
  <si>
    <t>Rolling-ball tack (cm)</t>
  </si>
  <si>
    <t>Wavelength Selection</t>
  </si>
  <si>
    <t>Wavelength (nm)</t>
  </si>
  <si>
    <t>Final λmax</t>
  </si>
  <si>
    <t>Maximum observed absorbance</t>
  </si>
  <si>
    <t>Surface pH Results</t>
  </si>
  <si>
    <t>Moisture Uptake and Moisture Loss</t>
  </si>
  <si>
    <t>Replicate</t>
  </si>
  <si>
    <t>Initial W1 (g)</t>
  </si>
  <si>
    <t>Final W2 (g)</t>
  </si>
  <si>
    <t>Moisture Uptake %</t>
  </si>
  <si>
    <t>Source</t>
  </si>
  <si>
    <t>Uptake Mean %</t>
  </si>
  <si>
    <t>Uptake SD</t>
  </si>
  <si>
    <t>Loss Mean %</t>
  </si>
  <si>
    <t>Loss SD</t>
  </si>
  <si>
    <t>QC note</t>
  </si>
  <si>
    <t>Final results workbook</t>
  </si>
  <si>
    <t>High variability in moisture-loss replicates</t>
  </si>
  <si>
    <t>Moisture Loss %</t>
  </si>
  <si>
    <t>Raw physical-test workbook</t>
  </si>
  <si>
    <t>Exploratory Release Kinetics (45-150 min)</t>
  </si>
  <si>
    <t>Zero-order R²</t>
  </si>
  <si>
    <t>First-order R²</t>
  </si>
  <si>
    <t>Higuchi R²</t>
  </si>
  <si>
    <t>Korsmeyer-Peppas R²</t>
  </si>
  <si>
    <t>KP n</t>
  </si>
  <si>
    <t>Best model</t>
  </si>
  <si>
    <t>Best R²</t>
  </si>
  <si>
    <t>Interpretive note</t>
  </si>
  <si>
    <t>First-order</t>
  </si>
  <si>
    <t>Exploratory fit based on five observed time points</t>
  </si>
  <si>
    <t>Korsmeyer-Peppas</t>
  </si>
  <si>
    <t>Higuchi</t>
  </si>
  <si>
    <t>Zero-order</t>
  </si>
  <si>
    <t>Exploratory Similarity Factor (f2) - F1 Comparator</t>
  </si>
  <si>
    <t>Time (min)</t>
  </si>
  <si>
    <t>Comparison</t>
  </si>
  <si>
    <t>f2</t>
  </si>
  <si>
    <t>F1 vs F2</t>
  </si>
  <si>
    <t>F1 vs F3</t>
  </si>
  <si>
    <t>F1 vs F4</t>
  </si>
  <si>
    <t>F1 vs F5</t>
  </si>
  <si>
    <t>F1 vs F6</t>
  </si>
  <si>
    <t>Interpretation</t>
  </si>
  <si>
    <t>f2 50-100</t>
  </si>
  <si>
    <t>Similar profiles (regulatory convention)</t>
  </si>
  <si>
    <t>Time</t>
  </si>
  <si>
    <t>F1-F2²</t>
  </si>
  <si>
    <t>F1-F3²</t>
  </si>
  <si>
    <t>F1-F4²</t>
  </si>
  <si>
    <t>F1-F5²</t>
  </si>
  <si>
    <t>F1-F6²</t>
  </si>
  <si>
    <t>f2 &lt;50</t>
  </si>
  <si>
    <t>Not similar</t>
  </si>
  <si>
    <t>Study note</t>
  </si>
  <si>
    <t>Exploratory only; F1 used direct capsule powder and may contain excipient-related UV interference.</t>
  </si>
  <si>
    <t>Drug Content / Assay - Recalculated Concentrations and Source-Reported Content</t>
  </si>
  <si>
    <t>Sample weight (g)</t>
  </si>
  <si>
    <t>Recalculated C (µg/mL)</t>
  </si>
  <si>
    <t>Measured amount in 100 mL (mg)</t>
  </si>
  <si>
    <t>Mean Abs</t>
  </si>
  <si>
    <t>Mean C (µg/mL)</t>
  </si>
  <si>
    <t>Mean amount (mg)</t>
  </si>
  <si>
    <t>Source-reported Drug Content %</t>
  </si>
  <si>
    <t>Area-normalized theoretical amount (mg)</t>
  </si>
  <si>
    <t>QC</t>
  </si>
  <si>
    <t>Drug Content %</t>
  </si>
  <si>
    <t>Final Consolidated Results Sucmary</t>
  </si>
  <si>
    <t>Weight mg (Mean)</t>
  </si>
  <si>
    <t>Thickness µm (Mean)</t>
  </si>
  <si>
    <t>Elongation reading cm</t>
  </si>
  <si>
    <t>Rolling-ball tack cm</t>
  </si>
  <si>
    <t>Moisture uptake %</t>
  </si>
  <si>
    <t>Moisture loss %</t>
  </si>
  <si>
    <t>Reported drug content %</t>
  </si>
  <si>
    <t>150-min nominal release index (%)</t>
  </si>
  <si>
    <t>Best kinetic model</t>
  </si>
  <si>
    <t>f2 vs F1</t>
  </si>
  <si>
    <t>Key QC note</t>
  </si>
  <si>
    <t>Density interpretation</t>
  </si>
  <si>
    <t>Dissolution Profile - Corrected Sampling Calculation at 360 nm</t>
  </si>
  <si>
    <t>QC Parameter</t>
  </si>
  <si>
    <t>Tested sample area (cm²)</t>
  </si>
  <si>
    <t>Area-based theoretical drug/sample (mg)</t>
  </si>
  <si>
    <t>Comparator</t>
  </si>
  <si>
    <t>Direct capsule-powder comparator; % elongation calculated with L0 = 5 cm.</t>
  </si>
  <si>
    <t>Comparative developmental value.</t>
  </si>
  <si>
    <t>150-min cumulative amount (mg)</t>
  </si>
  <si>
    <t>Area-based ratio at 150 min (%)</t>
  </si>
  <si>
    <t>F2 tack data available (37.64 cm); % elongation calculated with L0 = 5 cm.</t>
  </si>
  <si>
    <t>% elongation calculated with L0 = 5 cm.</t>
  </si>
  <si>
    <t>% elongation calculated with L0 = 5 cm; density value unusually low.</t>
  </si>
  <si>
    <t>Unusually low; verify density-specific weight/thickness measurements if challenged.</t>
  </si>
  <si>
    <t>Moisture loss uses n=1 fallback source; % elongation calculated with L0 = 5 cm.</t>
  </si>
  <si>
    <t>Data Quality and Logical Consistency Notes</t>
  </si>
  <si>
    <t>Item</t>
  </si>
  <si>
    <t>Status</t>
  </si>
  <si>
    <t>Action in final workbook</t>
  </si>
  <si>
    <t>Reason</t>
  </si>
  <si>
    <t>λmax</t>
  </si>
  <si>
    <t>Resolved</t>
  </si>
  <si>
    <t>360 nm adopted</t>
  </si>
  <si>
    <t>User-confirmed final value and highest observed absorbance in scan</t>
  </si>
  <si>
    <t>F1 dose equivalence</t>
  </si>
  <si>
    <t>20 mg capsule powder converted nominally to 10 mg Nitrofurantoin</t>
  </si>
  <si>
    <t>Average capsule fill = 5000 mg / 25 = 200 mg; label = 100 mg NF/capsule</t>
  </si>
  <si>
    <t>Weight / thickness</t>
  </si>
  <si>
    <t>Cleaned</t>
  </si>
  <si>
    <t>Raw physical-test measurements used; incorrect embedded averages excluded</t>
  </si>
  <si>
    <t>Original result workbook mixed raw values with averages/SD</t>
  </si>
  <si>
    <t>Rolling-ball tack F2</t>
  </si>
  <si>
    <t>F2 mean = 37.64 cm (n=5)</t>
  </si>
  <si>
    <t>Updated physical-test dataset contains five F2 tack measurements</t>
  </si>
  <si>
    <t>Percentage elongation</t>
  </si>
  <si>
    <t>Calculated using L0 = 5 cm</t>
  </si>
  <si>
    <t>User-confirmed initial gauge length</t>
  </si>
  <si>
    <t>Moisture loss F6</t>
  </si>
  <si>
    <t>Corrected source selection</t>
  </si>
  <si>
    <t>Used coherent single measurement 0.368→0.306 g from physical raw file</t>
  </si>
  <si>
    <t>Triplicate in result workbook contained internally inconsistent final weights/percentages</t>
  </si>
  <si>
    <t>Density</t>
  </si>
  <si>
    <t>Included with corrected unit logic</t>
  </si>
  <si>
    <t>Recalculated from density-sheet sample weight and mean thickness</t>
  </si>
  <si>
    <t>2×2 cm area used; thickness treated as mm and converted to cm before volume calculation. Interpret comparatively; F4 is unusually low.</t>
  </si>
  <si>
    <t>Drug content</t>
  </si>
  <si>
    <t>Partially validated</t>
  </si>
  <si>
    <t>Regression-based concentration recalculated; source-reported assay % retained separately</t>
  </si>
  <si>
    <t>Theoretical basis of reported assay % is not fully reconstructable from source workbook; area check exceeds 100% in multiple formulas</t>
  </si>
  <si>
    <t>Rebuilt</t>
  </si>
  <si>
    <t>Sampling correction with 3 mL replacement; 360 nm calibration; 10 mg nominal denominator</t>
  </si>
  <si>
    <t>Original sheet mixed stale formulas and incorrect percentages</t>
  </si>
  <si>
    <t>Dissolution sample-dose check</t>
  </si>
  <si>
    <t>Flagged</t>
  </si>
  <si>
    <t>Area-based QC shown separately</t>
  </si>
  <si>
    <t>A 2.5×2.5 cm piece corresponds to ~0.796 mg if drug is perfectly area-uniform; some observed cumulative amounts exceed this, so nominal 10 mg/cast normalization is reported separately</t>
  </si>
  <si>
    <t>Kinetics</t>
  </si>
  <si>
    <t>Only observed 45-150 min points used</t>
  </si>
  <si>
    <t>Extrapolated 180-360 min values excluded</t>
  </si>
  <si>
    <t>Similarity factor f2</t>
  </si>
  <si>
    <t>Exploratory</t>
  </si>
  <si>
    <t>F1 comparator vs F2-F6</t>
  </si>
  <si>
    <t>F1 used unextracted capsule powder; comparison is not regulatory equivalence testing</t>
  </si>
  <si>
    <t>Compendial QC Requirements and Interpretation Framework</t>
  </si>
  <si>
    <t>Official / Reference criterion</t>
  </si>
  <si>
    <t>Limit type</t>
  </si>
  <si>
    <t>Applicable to this study?</t>
  </si>
  <si>
    <t>How to interpret our results</t>
  </si>
  <si>
    <t>Primary source</t>
  </si>
  <si>
    <t>Source URL</t>
  </si>
  <si>
    <t>Description / appearance</t>
  </si>
  <si>
    <t>Must comply with the individual monograph or authorised descriptive specification; no single universal numeric limit.</t>
  </si>
  <si>
    <t>Product-specific</t>
  </si>
  <si>
    <t>Yes - descriptive only</t>
  </si>
  <si>
    <t>Describe smoothness, flexibility, cracks, bubbles, delamination or visible crystallisation; do not claim universal USP/BP pass/fail.</t>
  </si>
  <si>
    <t>USP &lt;3&gt;; BP/Ph. Eur. Patches framework</t>
  </si>
  <si>
    <t>https://doi.usp.org/USPNF/USPNF_M4033_05_01.html</t>
  </si>
  <si>
    <t>Weight variation / patch mass</t>
  </si>
  <si>
    <t>No universal USP/BP ±5% or ±10% criterion for all transdermal patches. Manufacturing limits are product-specific; mass variation does not replace Content Uniformity.</t>
  </si>
  <si>
    <t>Yes - comparative</t>
  </si>
  <si>
    <t>Use mean, SD and CV to compare within-formulation consistency. Lower CV is preferable.</t>
  </si>
  <si>
    <t>Supervisor reference document; USP &lt;3&gt;</t>
  </si>
  <si>
    <t>Thickness</t>
  </si>
  <si>
    <t>No universal USP/BP ±5% thickness criterion for all patches. Limits are product-specific.</t>
  </si>
  <si>
    <t>Use mean, SD and CV. Flag marked between-formulation differences as formulation effects or possible measurement issues.</t>
  </si>
  <si>
    <t>No universal USP/BP numerical limit such as &gt;200 or &gt;300 folds.</t>
  </si>
  <si>
    <t>Developmental / product-specific</t>
  </si>
  <si>
    <t>Yes - developmental</t>
  </si>
  <si>
    <t>Report observed endurance; values ≥200 indicate strong flexibility in this study, but not compendial compliance.</t>
  </si>
  <si>
    <t>Supervisor reference document; Lakhani et al. review</t>
  </si>
  <si>
    <t>https://doi.org/10.13040/IJPSR.0975-8232.6(5).1826-36</t>
  </si>
  <si>
    <t>No universal USP/BP numerical range.</t>
  </si>
  <si>
    <t>Resolved: L0 = 5 cm</t>
  </si>
  <si>
    <t>Calculated using L0 = 5 cm; compare relatively, not as a pharmacopoeial pass/fail.</t>
  </si>
  <si>
    <t>Surface pH</t>
  </si>
  <si>
    <t>No universal USP/BP numerical limit for all patches in the supplied compendial framework.</t>
  </si>
  <si>
    <t>Report the measured mildly acidic pH values and compare with formulation literature; do not call a fixed range a USP/BP limit.</t>
  </si>
  <si>
    <t>Supervisor reference document; formulation literature</t>
  </si>
  <si>
    <t>https://dx.doi.org/10.22159/ijap.2021v13i5.42175</t>
  </si>
  <si>
    <t>Moisture uptake / moisture loss</t>
  </si>
  <si>
    <t>No universal USP/BP percentage for all patches; validated product-specific limits are required.</t>
  </si>
  <si>
    <t>Lower/moderate uptake and loss are generally preferred for dimensional integrity; compare with direct Nitrofurantoin film literature and flag extremes.</t>
  </si>
  <si>
    <t>Supervisor reference document; Arici et al. 2017</t>
  </si>
  <si>
    <t>https://doi.org/10.2174/1567201813666160729095229</t>
  </si>
  <si>
    <t>Rolling-ball tack / adhesion</t>
  </si>
  <si>
    <t>No universal USP/BP numerical tack value; validated product-specific limits are required.</t>
  </si>
  <si>
    <t>Shorter rolling distance = greater initial tack. Rank formulations comparatively.</t>
  </si>
  <si>
    <t>USP &lt;3&gt;; Lakhani et al. review</t>
  </si>
  <si>
    <t>Assay / drug content</t>
  </si>
  <si>
    <t>Assay range is individual-monograph or registered-specification specific. There is no universal 95-105% rule for all patches.</t>
  </si>
  <si>
    <t>Monograph-specific</t>
  </si>
  <si>
    <t>Yes - provisional only</t>
  </si>
  <si>
    <t>Use closeness to nominal as a research comparison. Do not claim USP/BP compliance from the current single-sample design.</t>
  </si>
  <si>
    <t>Supervisor reference document; USP &lt;905&gt; for dosage-unit uniformity framework</t>
  </si>
  <si>
    <t>https://doi.usp.org/USPNF/USPNF_M99694_02_01.html</t>
  </si>
  <si>
    <t>Uniformity of dosage units</t>
  </si>
  <si>
    <t>USP &lt;905&gt;: Content Uniformity; Stage 1 AV ≤15.0 for 10 units. If Stage 2 is needed: 30 total units, final AV ≤15.0 and no unit outside 0.75M-1.25M.</t>
  </si>
  <si>
    <t>General numerical</t>
  </si>
  <si>
    <t>No - study design insufficient</t>
  </si>
  <si>
    <t>Current study did not test 10/30 dosage units; therefore do not claim &lt;905&gt; compliance.</t>
  </si>
  <si>
    <t>USP &lt;905&gt;</t>
  </si>
  <si>
    <t>Drug release / dissolution</t>
  </si>
  <si>
    <t>No universal release percentage or time for all transdermal patches. Limits and apparatus are product-specific under USP &lt;724&gt;/BP-Ph. Eur. framework.</t>
  </si>
  <si>
    <t>Product-specific + staged rules</t>
  </si>
  <si>
    <t>Yes - research comparison only</t>
  </si>
  <si>
    <t>Compare release profiles among F1-F6. Do not use a universal NLT 80% criterion. Current method is not a full compendial release test.</t>
  </si>
  <si>
    <t>USP &lt;724&gt;</t>
  </si>
  <si>
    <t>https://doi.usp.org/USPNF/USPNF_M99490_05_01.html</t>
  </si>
  <si>
    <t>Microbiological quality</t>
  </si>
  <si>
    <t>TAMC 10² CFU/patch; TYMC 10¹ CFU/patch; absence of S. aureus and P. aeruginosa in 1 patch.</t>
  </si>
  <si>
    <t>Not tested</t>
  </si>
  <si>
    <t>Mention as a study limitation only; no result can be assigned.</t>
  </si>
  <si>
    <t>Supervisor reference document; USP &lt;1111&gt;/harmonised criteria</t>
  </si>
  <si>
    <t>https://doi.usp.org/</t>
  </si>
  <si>
    <t>Published Formulation Benchmarks (Not Universal Acceptance Limits)</t>
  </si>
  <si>
    <t>Drug / system</t>
  </si>
  <si>
    <t>Reported value / range</t>
  </si>
  <si>
    <t>How used</t>
  </si>
  <si>
    <t>Important caution</t>
  </si>
  <si>
    <t>URL / DOI</t>
  </si>
  <si>
    <t>Arici et al., 2017</t>
  </si>
  <si>
    <t>Nitrofurantoin transdermal film</t>
  </si>
  <si>
    <t>0.27 ± 0.02 mm</t>
  </si>
  <si>
    <t>Contextual comparison with our film thickness</t>
  </si>
  <si>
    <t>Study-specific formulation value, not USP/BP limit</t>
  </si>
  <si>
    <t>Weight</t>
  </si>
  <si>
    <t>23.95 ± 1.64 mg per 1 cm²</t>
  </si>
  <si>
    <t>Contextual comparison only</t>
  </si>
  <si>
    <t>Different polymer system and composition</t>
  </si>
  <si>
    <t>Moisture uptake</t>
  </si>
  <si>
    <t>13.67 ± 0.36% at 60% RH; 20.18 ± 1.33% at 75% RH</t>
  </si>
  <si>
    <t>Useful benchmark for hygroscopic behaviour</t>
  </si>
  <si>
    <t>Different storage conditions/formulation; not acceptance limits</t>
  </si>
  <si>
    <t>Shivalingam et al., 2021</t>
  </si>
  <si>
    <t>Pantoprazole matrix patches</t>
  </si>
  <si>
    <t>0.322-0.484 mm</t>
  </si>
  <si>
    <t>General film-formulation comparison</t>
  </si>
  <si>
    <t>Different drug and polymers</t>
  </si>
  <si>
    <t>141.6-179 folds</t>
  </si>
  <si>
    <t>Shows that strong films may have endurance below 200</t>
  </si>
  <si>
    <t>Not a pharmacopoeial limit</t>
  </si>
  <si>
    <t>5.13-5.27</t>
  </si>
  <si>
    <t>Contextual comparison with mildly acidic film surfaces</t>
  </si>
  <si>
    <t>Not a universal skin-compatibility criterion</t>
  </si>
  <si>
    <t>7.67-11.32%</t>
  </si>
  <si>
    <t>Contextual comparison of hygroscopicity</t>
  </si>
  <si>
    <t>Different formulation and conditions</t>
  </si>
  <si>
    <t>Content uniformity</t>
  </si>
  <si>
    <t>98.86-101.67%</t>
  </si>
  <si>
    <t>Literature context for closeness to nominal content</t>
  </si>
  <si>
    <t>Their n=10 study design differs from ours; not a universal assay limit</t>
  </si>
  <si>
    <t>38.33-80.83%</t>
  </si>
  <si>
    <t>Only after our initial gauge length is confirmed</t>
  </si>
  <si>
    <t>Different test geometry and formulation</t>
  </si>
  <si>
    <t>Lakhani et al., 2015</t>
  </si>
  <si>
    <t>Review of transdermal patch evaluation</t>
  </si>
  <si>
    <t>Weight / thickness / tack</t>
  </si>
  <si>
    <t>Weight variation should be minimized; rolling-ball tack is represented by distance travelled</t>
  </si>
  <si>
    <t>Supports qualitative interpretation of consistency and tack</t>
  </si>
  <si>
    <t>Review article; does not provide universal pass/fail limits</t>
  </si>
  <si>
    <t>Formulation-Level Decision Support for Chapter Four</t>
  </si>
  <si>
    <t>Final QC Classification and Research Interpretation</t>
  </si>
  <si>
    <t>Role</t>
  </si>
  <si>
    <t>Experimental role</t>
  </si>
  <si>
    <t>Weight interpretation</t>
  </si>
  <si>
    <t>Main strengths</t>
  </si>
  <si>
    <t>Main concerns</t>
  </si>
  <si>
    <t>Thickness interpretation</t>
  </si>
  <si>
    <t>Release finding</t>
  </si>
  <si>
    <t>Kinetic finding</t>
  </si>
  <si>
    <t>Folding interpretation</t>
  </si>
  <si>
    <t>Overall interpretation</t>
  </si>
  <si>
    <t>Decision</t>
  </si>
  <si>
    <t>pH interpretation</t>
  </si>
  <si>
    <t>Uptake interpretation</t>
  </si>
  <si>
    <t>Loss interpretation</t>
  </si>
  <si>
    <t>Tack distance cm</t>
  </si>
  <si>
    <t>Control/comparator (direct capsule powder)</t>
  </si>
  <si>
    <t>Highest nominal 150-min release; folding endurance ≥200; pH 5.5</t>
  </si>
  <si>
    <t>Different drug-processing route; higher weight CV; capsule excipients may influence UV/release</t>
  </si>
  <si>
    <t>30.84% nominal release index at 150 min</t>
  </si>
  <si>
    <t>First-order best fit, R²≈0.928</t>
  </si>
  <si>
    <t>Use as comparator, not as optimized extracted-drug candidate.</t>
  </si>
  <si>
    <t>Tack interpretation</t>
  </si>
  <si>
    <t>Drug content %</t>
  </si>
  <si>
    <t>Abs deviation from 100 %</t>
  </si>
  <si>
    <t>Drug-content interpretation</t>
  </si>
  <si>
    <t>Release interpretation</t>
  </si>
  <si>
    <t>f2 interpretation</t>
  </si>
  <si>
    <t>Overall research assessment</t>
  </si>
  <si>
    <t>Priority</t>
  </si>
  <si>
    <t>Recovered Nitrofurantoin</t>
  </si>
  <si>
    <t>Low moisture uptake; folding endurance ≥200; pH 5.7</t>
  </si>
  <si>
    <t>High weight/thickness CV; drug content 123.79%; high moisture loss; relatively weak tack</t>
  </si>
  <si>
    <t>16.00% nominal release index at 150 min</t>
  </si>
  <si>
    <t>Korsmeyer-Peppas best fit, R²≈0.831</t>
  </si>
  <si>
    <t>Several QC concerns outweigh its moderate release; tack is available but relatively weak.</t>
  </si>
  <si>
    <t>Control/comparator: direct capsule powder (nominally 10 mg Nitrofurantoin)</t>
  </si>
  <si>
    <t>Not preferred</t>
  </si>
  <si>
    <t>Good weight/thickness consistency; moderate moisture; relatively strong tack</t>
  </si>
  <si>
    <t>Drug content 126.21% is far above nominal</t>
  </si>
  <si>
    <t>13.64% nominal release index at 150 min</t>
  </si>
  <si>
    <t>Korsmeyer-Peppas best fit, R²≈0.778</t>
  </si>
  <si>
    <t>Physically consistent but assay deviation is a major concern.</t>
  </si>
  <si>
    <t>Comparative only; no universal USP/BP limit. Relatively high within-formulation variability.</t>
  </si>
  <si>
    <t>Secondary candidate</t>
  </si>
  <si>
    <t>Comparative only; no universal USP/BP limit. Within the main thickness cluster of this study.</t>
  </si>
  <si>
    <t>Good weight consistency; intermediate tack; strongest kinetic fit</t>
  </si>
  <si>
    <t>≥200 folds supports good flexibility in this study; not a universal USP/BP pass criterion.</t>
  </si>
  <si>
    <t>Drug content 77.10%; lowest release; thickness CV relatively high; density value unusually low</t>
  </si>
  <si>
    <t>5.46% nominal release index at 150 min</t>
  </si>
  <si>
    <t>Higuchi best fit, R²≈0.972</t>
  </si>
  <si>
    <t>Mechanistically interesting but weak overall performance for the current objective.</t>
  </si>
  <si>
    <t>Needs optimization</t>
  </si>
  <si>
    <t>Mildly acidic film surface; no universal USP/BP numeric pH limit. Discuss comparatively with literature.</t>
  </si>
  <si>
    <t>Moderate uptake in this study; compare with published Nitrofurantoin film values.</t>
  </si>
  <si>
    <t>Lowest thickness CV; low weight CV; drug content 104.96% closest to nominal; highest release among F2-F6; moderate moisture</t>
  </si>
  <si>
    <t>Relatively lower initial tack; analytical and release-related limitations require further verification.</t>
  </si>
  <si>
    <t>Moderate moisture loss; no universal compendial limit.</t>
  </si>
  <si>
    <t>17.96% nominal release index at 150 min</t>
  </si>
  <si>
    <t>Zero-order best fit, R²≈0.737</t>
  </si>
  <si>
    <t>Best balance among the extracted-drug formulations based on current data.</t>
  </si>
  <si>
    <t>Leading candidate</t>
  </si>
  <si>
    <t>Lower tack than F3/F4/F6; comparator only.</t>
  </si>
  <si>
    <t>Source-reported content moderately below nominal; single-sample study cannot establish USP &lt;905&gt; uniformity.</t>
  </si>
  <si>
    <t>Good thickness consistency; strongest measured tack; pH 5.65</t>
  </si>
  <si>
    <t>Moisture uptake 48.30%; drug content 85.89%; moisture-loss result based on n=1 fallback</t>
  </si>
  <si>
    <t>Highest nominal release; comparator prepared from direct capsule powder. Area-dose QC discrepancy limits absolute interpretation.</t>
  </si>
  <si>
    <t>10.17% nominal release index at 150 min</t>
  </si>
  <si>
    <t>Higuchi best fit, R²≈0.913</t>
  </si>
  <si>
    <t>Adhesion is favorable, but hygroscopicity and drug content require optimization.</t>
  </si>
  <si>
    <t>Comparator only. Highest nominal release, but prepared with unextracted capsule powder; not directly ranked as optimized extracted-drug formulation.</t>
  </si>
  <si>
    <t>Recovered-Nitrofurantoin test formulation</t>
  </si>
  <si>
    <t>Comparative only; no universal USP/BP limit. Comparative only; no universal USP/BP limit. Low thickness variability in this study.</t>
  </si>
  <si>
    <t>Lowest uptake in this study; favorable comparatively, but no universal compendial limit.</t>
  </si>
  <si>
    <t>High and variable moisture loss; possible brittleness/stability concern.</t>
  </si>
  <si>
    <t>Lower initial tack than F3/F4/F6; mean rolling distance 37.64 cm.</t>
  </si>
  <si>
    <t>Markedly above nominal; indicates assay/dispersion/calculation concern and should not be labelled compendially acceptable.</t>
  </si>
  <si>
    <t>Third-highest release among extracted-drug formulations; research comparison only.</t>
  </si>
  <si>
    <t>f2 &lt;50 → not similar to F1 by conventional interpretation; exploratory only, not regulatory equivalence.</t>
  </si>
  <si>
    <t>Not preferred at present: high weight/thickness variability, high moisture loss, drug content far above nominal, and relatively weak initial tack.</t>
  </si>
  <si>
    <t>Lower</t>
  </si>
  <si>
    <t>Comparative only; no universal USP/BP limit. Low within-formulation variability.</t>
  </si>
  <si>
    <t>Relatively strong initial tack.</t>
  </si>
  <si>
    <t>Intermediate release among extracted-drug formulations; research comparison only.</t>
  </si>
  <si>
    <t>Secondary candidate: good mass/thickness consistency and moderate moisture behaviour, but drug content is markedly above nominal.</t>
  </si>
  <si>
    <t>Secondary</t>
  </si>
  <si>
    <t>Intermediate tack but high variability.</t>
  </si>
  <si>
    <t>Markedly below nominal; formulation/content-distribution concern.</t>
  </si>
  <si>
    <t>Lowest release; may reflect stronger retention in the polymeric matrix.</t>
  </si>
  <si>
    <t>Needs optimization: good weight consistency and strong Higuchi fit, but lowest nominal release and drug content markedly below nominal.</t>
  </si>
  <si>
    <t>Comparative only; no universal USP/BP limit. Very thin mean film; verify unit/decimal if challenged.</t>
  </si>
  <si>
    <t>Longest measured rolling distance → weakest initial tack among measured formulations.</t>
  </si>
  <si>
    <t>Closest to nominal among all formulations; favorable research finding, but not proof of compendial content uniformity.</t>
  </si>
  <si>
    <t>Highest release among extracted-drug formulations; favorable relative performance.</t>
  </si>
  <si>
    <t>Leading extracted-drug candidate: best overall physical consistency, drug content closest to nominal, moderate moisture behaviour, and highest 150-min release among F2-F6; tack is weaker than other measured films.</t>
  </si>
  <si>
    <t>Leading</t>
  </si>
  <si>
    <t>Markedly high uptake versus the other formulations and direct Nitrofurantoin film literature; hygroscopicity concern.</t>
  </si>
  <si>
    <t>Shortest measured rolling distance → strongest initial tack among measured formulations.</t>
  </si>
  <si>
    <t>Below nominal; less severe deviation than F2-F4 but still requires optimization.</t>
  </si>
  <si>
    <t>Lower-intermediate release; research comparison only.</t>
  </si>
  <si>
    <t>Secondary candidate with strong tack and good thickness consistency, but very high moisture uptake and drug content below nominal require optimization.</t>
  </si>
  <si>
    <t>Nitrofurantoin Patch Results - Research QC Dashboard</t>
  </si>
  <si>
    <t>150-min release %</t>
  </si>
  <si>
    <t>Tack cm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</si>
</sst>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0"/>
  </numFmts>
  <fonts count="14">
    <font>
      <sz val="11.0"/>
      <color rgb="FF000000"/>
      <name val="Arial"/>
      <scheme val="minor"/>
    </font>
    <font>
      <sz val="11.0"/>
      <color theme="1"/>
      <name val="Carlito"/>
    </font>
    <font>
      <b/>
      <sz val="14.0"/>
      <color rgb="FFFFFFFF"/>
      <name val="Times New Roman"/>
    </font>
    <font>
      <color theme="1"/>
      <name val="Arial"/>
      <scheme val="minor"/>
    </font>
    <font>
      <b/>
      <sz val="11.0"/>
      <color rgb="FFFFFFFF"/>
      <name val="Times New Roman"/>
    </font>
    <font>
      <sz val="11.0"/>
      <color theme="1"/>
      <name val="Times New Roman"/>
    </font>
    <font>
      <b/>
      <sz val="14.0"/>
      <color theme="1"/>
      <name val="Times New Roman"/>
    </font>
    <font/>
    <font>
      <sz val="14.0"/>
      <color theme="1"/>
      <name val="Times New Roman"/>
    </font>
    <font>
      <color theme="1"/>
      <name val="Times New Roman"/>
    </font>
    <font>
      <sz val="11.0"/>
      <color theme="1"/>
      <name val="Arial"/>
    </font>
    <font>
      <b/>
      <sz val="11.0"/>
      <color rgb="FF17365D"/>
      <name val="Times New Roman"/>
    </font>
    <font>
      <b/>
      <sz val="11.0"/>
      <color rgb="FF1F1F1F"/>
      <name val="Times New Roman"/>
    </font>
    <font>
      <sz val="11.0"/>
      <color rgb="FF000000"/>
      <name val="Arial"/>
    </font>
  </fonts>
  <fills count="15">
    <fill>
      <patternFill patternType="none"/>
    </fill>
    <fill>
      <patternFill patternType="lightGray"/>
    </fill>
    <fill>
      <patternFill patternType="solid">
        <fgColor rgb="FFFF9900"/>
        <bgColor rgb="FFFF9900"/>
      </patternFill>
    </fill>
    <fill>
      <patternFill patternType="solid">
        <fgColor rgb="FF5B9BD5"/>
        <bgColor rgb="FF5B9BD5"/>
      </patternFill>
    </fill>
    <fill>
      <patternFill patternType="solid">
        <fgColor rgb="FFF7CAAC"/>
        <bgColor rgb="FFF7CAAC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rgb="FFD9E2F3"/>
        <bgColor rgb="FFD9E2F3"/>
      </patternFill>
    </fill>
    <fill>
      <patternFill patternType="solid">
        <fgColor rgb="FFFBE4D5"/>
        <bgColor rgb="FFFBE4D5"/>
      </patternFill>
    </fill>
    <fill>
      <patternFill patternType="solid">
        <fgColor rgb="FF17365D"/>
        <bgColor rgb="FF17365D"/>
      </patternFill>
    </fill>
    <fill>
      <patternFill patternType="solid">
        <fgColor rgb="FFADB9CA"/>
        <bgColor rgb="FFADB9CA"/>
      </patternFill>
    </fill>
    <fill>
      <patternFill patternType="solid">
        <fgColor rgb="FFFFE598"/>
        <bgColor rgb="FFFFE598"/>
      </patternFill>
    </fill>
    <fill>
      <patternFill patternType="solid">
        <fgColor rgb="FFE97132"/>
        <bgColor rgb="FFE97132"/>
      </patternFill>
    </fill>
    <fill>
      <patternFill patternType="solid">
        <fgColor rgb="FFD9EAF7"/>
        <bgColor rgb="FFD9EAF7"/>
      </patternFill>
    </fill>
    <fill>
      <patternFill patternType="solid">
        <fgColor rgb="FF1F4E78"/>
        <bgColor rgb="FF1F4E78"/>
      </patternFill>
    </fill>
  </fills>
  <borders count="9">
    <border/>
    <border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bottom"/>
    </xf>
    <xf borderId="0" fillId="2" fontId="2" numFmtId="0" xfId="0" applyAlignment="1" applyFill="1" applyFont="1">
      <alignment horizontal="center" vertical="center"/>
    </xf>
    <xf borderId="0" fillId="2" fontId="3" numFmtId="0" xfId="0" applyFill="1" applyFont="1"/>
    <xf borderId="0" fillId="3" fontId="4" numFmtId="0" xfId="0" applyAlignment="1" applyFill="1" applyFont="1">
      <alignment horizontal="center" shrinkToFit="0" vertical="center" wrapText="1"/>
    </xf>
    <xf borderId="0" fillId="0" fontId="5" numFmtId="0" xfId="0" applyAlignment="1" applyFont="1">
      <alignment shrinkToFit="0" wrapText="1"/>
    </xf>
    <xf borderId="1" fillId="0" fontId="6" numFmtId="0" xfId="0" applyAlignment="1" applyBorder="1" applyFont="1">
      <alignment horizontal="center"/>
    </xf>
    <xf borderId="1" fillId="0" fontId="7" numFmtId="0" xfId="0" applyBorder="1" applyFont="1"/>
    <xf borderId="2" fillId="4" fontId="8" numFmtId="0" xfId="0" applyAlignment="1" applyBorder="1" applyFill="1" applyFont="1">
      <alignment horizontal="center"/>
    </xf>
    <xf borderId="2" fillId="5" fontId="8" numFmtId="0" xfId="0" applyAlignment="1" applyBorder="1" applyFill="1" applyFont="1">
      <alignment horizontal="center"/>
    </xf>
    <xf borderId="2" fillId="6" fontId="1" numFmtId="0" xfId="0" applyBorder="1" applyFill="1" applyFont="1"/>
    <xf borderId="0" fillId="0" fontId="5" numFmtId="0" xfId="0" applyAlignment="1" applyFont="1">
      <alignment readingOrder="0" shrinkToFit="0" wrapText="1"/>
    </xf>
    <xf borderId="0" fillId="0" fontId="3" numFmtId="0" xfId="0" applyFont="1"/>
    <xf borderId="2" fillId="7" fontId="8" numFmtId="0" xfId="0" applyAlignment="1" applyBorder="1" applyFill="1" applyFont="1">
      <alignment horizontal="center"/>
    </xf>
    <xf borderId="2" fillId="0" fontId="8" numFmtId="0" xfId="0" applyAlignment="1" applyBorder="1" applyFont="1">
      <alignment vertical="bottom"/>
    </xf>
    <xf borderId="2" fillId="0" fontId="8" numFmtId="0" xfId="0" applyAlignment="1" applyBorder="1" applyFont="1">
      <alignment horizontal="center" vertical="bottom"/>
    </xf>
    <xf borderId="2" fillId="8" fontId="8" numFmtId="0" xfId="0" applyAlignment="1" applyBorder="1" applyFill="1" applyFont="1">
      <alignment horizontal="center"/>
    </xf>
    <xf borderId="0" fillId="9" fontId="2" numFmtId="0" xfId="0" applyAlignment="1" applyFill="1" applyFont="1">
      <alignment horizontal="center" vertical="center"/>
    </xf>
    <xf borderId="0" fillId="0" fontId="9" numFmtId="0" xfId="0" applyFont="1"/>
    <xf borderId="3" fillId="4" fontId="8" numFmtId="0" xfId="0" applyAlignment="1" applyBorder="1" applyFill="1" applyFont="1">
      <alignment horizontal="center" shrinkToFit="0" wrapText="1"/>
    </xf>
    <xf borderId="4" fillId="0" fontId="7" numFmtId="0" xfId="0" applyBorder="1" applyFont="1"/>
    <xf borderId="5" fillId="0" fontId="7" numFmtId="0" xfId="0" applyBorder="1" applyFont="1"/>
    <xf borderId="0" fillId="0" fontId="1" numFmtId="0" xfId="0" applyFont="1"/>
    <xf borderId="2" fillId="10" fontId="8" numFmtId="0" xfId="0" applyAlignment="1" applyBorder="1" applyFill="1" applyFont="1">
      <alignment horizontal="center"/>
    </xf>
    <xf borderId="6" fillId="11" fontId="8" numFmtId="0" xfId="0" applyAlignment="1" applyBorder="1" applyFill="1" applyFont="1">
      <alignment horizontal="center"/>
    </xf>
    <xf borderId="7" fillId="0" fontId="7" numFmtId="0" xfId="0" applyBorder="1" applyFont="1"/>
    <xf borderId="2" fillId="6" fontId="8" numFmtId="0" xfId="0" applyAlignment="1" applyBorder="1" applyFill="1" applyFont="1">
      <alignment horizontal="center"/>
    </xf>
    <xf borderId="0" fillId="5" fontId="1" numFmtId="0" xfId="0" applyFill="1" applyFont="1"/>
    <xf borderId="0" fillId="5" fontId="1" numFmtId="0" xfId="0" applyAlignment="1" applyFill="1" applyFont="1">
      <alignment vertical="bottom"/>
    </xf>
    <xf borderId="0" fillId="2" fontId="9" numFmtId="0" xfId="0" applyFill="1" applyFont="1"/>
    <xf borderId="8" fillId="12" fontId="4" numFmtId="0" xfId="0" applyAlignment="1" applyBorder="1" applyFill="1" applyFont="1">
      <alignment shrinkToFit="0" wrapText="1"/>
    </xf>
    <xf borderId="8" fillId="12" fontId="4" numFmtId="0" xfId="0" applyAlignment="1" applyBorder="1" applyFill="1" applyFont="1">
      <alignment readingOrder="0" shrinkToFit="0" wrapText="1"/>
    </xf>
    <xf borderId="8" fillId="0" fontId="4" numFmtId="0" xfId="0" applyAlignment="1" applyBorder="1" applyFont="1">
      <alignment shrinkToFit="0" wrapText="1"/>
    </xf>
    <xf borderId="8" fillId="5" fontId="10" numFmtId="0" xfId="0" applyAlignment="1" applyBorder="1" applyFill="1" applyFont="1">
      <alignment vertical="bottom"/>
    </xf>
    <xf borderId="0" fillId="0" fontId="9" numFmtId="0" xfId="0" applyAlignment="1" applyFont="1">
      <alignment readingOrder="0"/>
    </xf>
    <xf borderId="0" fillId="13" fontId="11" numFmtId="0" xfId="0" applyAlignment="1" applyFill="1" applyFont="1">
      <alignment horizontal="center" vertical="center"/>
    </xf>
    <xf borderId="8" fillId="12" fontId="4" numFmtId="0" xfId="0" applyAlignment="1" applyBorder="1" applyFill="1" applyFont="1">
      <alignment horizontal="center" shrinkToFit="0" wrapText="1"/>
    </xf>
    <xf borderId="2" fillId="0" fontId="5" numFmtId="0" xfId="0" applyAlignment="1" applyBorder="1" applyFont="1">
      <alignment horizontal="center" vertical="bottom"/>
    </xf>
    <xf borderId="0" fillId="0" fontId="5" numFmtId="164" xfId="0" applyFont="1" applyNumberFormat="1"/>
    <xf borderId="8" fillId="3" fontId="4" numFmtId="0" xfId="0" applyAlignment="1" applyBorder="1" applyFill="1" applyFont="1">
      <alignment horizontal="center" shrinkToFit="0" wrapText="1"/>
    </xf>
    <xf borderId="0" fillId="0" fontId="5" numFmtId="0" xfId="0" applyAlignment="1" applyFont="1">
      <alignment vertical="bottom"/>
    </xf>
    <xf borderId="0" fillId="0" fontId="5" numFmtId="0" xfId="0" applyAlignment="1" applyFont="1">
      <alignment horizontal="right" vertical="bottom"/>
    </xf>
    <xf borderId="0" fillId="0" fontId="5" numFmtId="0" xfId="0" applyAlignment="1" applyFont="1">
      <alignment horizontal="center" vertical="bottom"/>
    </xf>
    <xf borderId="2" fillId="3" fontId="4" numFmtId="0" xfId="0" applyAlignment="1" applyBorder="1" applyFill="1" applyFont="1">
      <alignment horizontal="center" shrinkToFit="0" wrapText="1"/>
    </xf>
    <xf borderId="2" fillId="0" fontId="5" numFmtId="0" xfId="0" applyAlignment="1" applyBorder="1" applyFont="1">
      <alignment vertical="bottom"/>
    </xf>
    <xf borderId="0" fillId="9" fontId="2" numFmtId="0" xfId="0" applyAlignment="1" applyFill="1" applyFont="1">
      <alignment horizontal="center" readingOrder="0" vertical="center"/>
    </xf>
    <xf borderId="0" fillId="3" fontId="4" numFmtId="0" xfId="0" applyAlignment="1" applyFill="1" applyFont="1">
      <alignment horizontal="center" readingOrder="0" shrinkToFit="0" vertical="center" wrapText="1"/>
    </xf>
    <xf borderId="0" fillId="0" fontId="9" numFmtId="0" xfId="0" applyAlignment="1" applyFont="1">
      <alignment shrinkToFit="0" wrapText="1"/>
    </xf>
    <xf borderId="0" fillId="0" fontId="9" numFmtId="0" xfId="0" applyAlignment="1" applyFont="1">
      <alignment horizontal="center"/>
    </xf>
    <xf borderId="0" fillId="0" fontId="5" numFmtId="164" xfId="0" applyAlignment="1" applyFont="1" applyNumberFormat="1">
      <alignment shrinkToFit="0" wrapText="1"/>
    </xf>
    <xf borderId="0" fillId="9" fontId="2" numFmtId="0" xfId="0" applyAlignment="1" applyFill="1" applyFont="1">
      <alignment horizontal="center" shrinkToFit="0" vertical="center" wrapText="1"/>
    </xf>
    <xf borderId="0" fillId="14" fontId="2" numFmtId="0" xfId="0" applyAlignment="1" applyFill="1" applyFont="1">
      <alignment horizontal="center" vertical="center"/>
    </xf>
    <xf borderId="0" fillId="13" fontId="12" numFmtId="0" xfId="0" applyAlignment="1" applyFill="1" applyFont="1">
      <alignment horizontal="center" shrinkToFit="0" vertical="center" wrapText="1"/>
    </xf>
    <xf borderId="0" fillId="13" fontId="12" numFmtId="0" xfId="0" applyAlignment="1" applyFill="1" applyFont="1">
      <alignment horizontal="center" readingOrder="0" shrinkToFit="0" vertical="center" wrapText="1"/>
    </xf>
    <xf borderId="0" fillId="0" fontId="13" numFmtId="0" xfId="0" applyAlignment="1" applyFont="1">
      <alignment shrinkToFit="0" vertical="bottom" wrapText="1"/>
    </xf>
    <xf borderId="0" fillId="0" fontId="5" numFmtId="2" xfId="0" applyAlignment="1" applyFont="1" applyNumberFormat="1">
      <alignment shrinkToFit="0" wrapText="1"/>
    </xf>
  </cellXfs>
  <cellStyles count="1">
    <cellStyle xfId="0" name="Normal" builtinId="0"/>
  </cellStyles>
  <dxfs count="7">
    <dxf>
      <font>
        <color rgb="FF9C0006"/>
      </font>
      <fill>
        <patternFill patternType="solid">
          <fgColor rgb="FFFCE4D6"/>
          <bgColor rgb="FFFCE4D6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  <dxf>
      <font>
        <b/>
      </font>
      <fill>
        <patternFill patternType="solid">
          <fgColor rgb="FFDCFCE7"/>
          <bgColor rgb="FFDCFCE7"/>
        </patternFill>
      </fill>
      <border/>
    </dxf>
    <dxf>
      <font>
        <b/>
      </font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ECACA"/>
          <bgColor rgb="FFFECACA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solid">
          <fgColor rgb="FFEDE9FE"/>
          <bgColor rgb="FFEDE9F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11" Type="http://schemas.openxmlformats.org/officeDocument/2006/relationships/worksheet" Target="worksheets/sheet8.xml"/><Relationship Id="rId22" Type="http://customschemas.google.com/relationships/workbookmetadata" Target="metadata"/><Relationship Id="rId10" Type="http://schemas.openxmlformats.org/officeDocument/2006/relationships/worksheet" Target="worksheets/sheet7.xml"/><Relationship Id="rId21" Type="http://schemas.openxmlformats.org/officeDocument/2006/relationships/worksheet" Target="worksheets/sheet18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19" Type="http://schemas.openxmlformats.org/officeDocument/2006/relationships/worksheet" Target="worksheets/sheet16.xml"/><Relationship Id="rId6" Type="http://schemas.openxmlformats.org/officeDocument/2006/relationships/worksheet" Target="worksheets/sheet3.xml"/><Relationship Id="rId18" Type="http://schemas.openxmlformats.org/officeDocument/2006/relationships/worksheet" Target="worksheets/sheet15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Calibration Curve</a:t>
            </a:r>
          </a:p>
        </c:rich>
      </c:tx>
      <c:overlay val="0"/>
    </c:title>
    <c:plotArea>
      <c:layout/>
      <c:scatterChart>
        <c:scatterStyle val="lineMarker"/>
        <c:varyColors val="0"/>
        <c:ser>
          <c:idx val="0"/>
          <c:order val="0"/>
          <c:tx>
            <c:v>Absorbance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4285F4"/>
              </a:solidFill>
              <a:ln cmpd="sng">
                <a:solidFill>
                  <a:srgbClr val="4285F4"/>
                </a:solidFill>
              </a:ln>
            </c:spPr>
          </c:marker>
          <c:yVal>
            <c:numRef>
              <c:f>Calibration!$B$4:$B$11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40545"/>
        <c:axId val="282179274"/>
      </c:scatterChart>
      <c:valAx>
        <c:axId val="2144440545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82179274"/>
      </c:valAx>
      <c:valAx>
        <c:axId val="28217927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44440545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Surface pH by Formulation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pH</c:v>
          </c:tx>
          <c:spPr>
            <a:solidFill>
              <a:srgbClr val="4285F4"/>
            </a:solidFill>
            <a:ln cmpd="sng">
              <a:noFill/>
            </a:ln>
          </c:spPr>
          <c:val>
            <c:numRef>
              <c:f>pH!$B$4:$B$9</c:f>
              <c:numCache/>
            </c:numRef>
          </c:val>
        </c:ser>
        <c:axId val="1358797259"/>
        <c:axId val="2108716855"/>
      </c:barChart>
      <c:catAx>
        <c:axId val="13587972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108716855"/>
      </c:catAx>
      <c:valAx>
        <c:axId val="21087168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358797259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Uptake Mean  vus  %Loss Mean %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Moisture!$K$14</c:f>
            </c:strRef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Moisture!$J$15:$J$20</c:f>
            </c:strRef>
          </c:cat>
          <c:val>
            <c:numRef>
              <c:f>Moisture!$K$15:$K$20</c:f>
              <c:numCache/>
            </c:numRef>
          </c:val>
        </c:ser>
        <c:ser>
          <c:idx val="1"/>
          <c:order val="1"/>
          <c:tx>
            <c:strRef>
              <c:f>Moisture!$L$14</c:f>
            </c:strRef>
          </c:tx>
          <c:spPr>
            <a:solidFill>
              <a:schemeClr val="accent2"/>
            </a:solidFill>
            <a:ln cmpd="sng">
              <a:noFill/>
            </a:ln>
          </c:spPr>
          <c:cat>
            <c:strRef>
              <c:f>Moisture!$J$15:$J$20</c:f>
            </c:strRef>
          </c:cat>
          <c:val>
            <c:numRef>
              <c:f>Moisture!$L$15:$L$20</c:f>
              <c:numCache/>
            </c:numRef>
          </c:val>
        </c:ser>
        <c:axId val="655599889"/>
        <c:axId val="475167143"/>
      </c:barChart>
      <c:catAx>
        <c:axId val="6555998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Formula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75167143"/>
      </c:catAx>
      <c:valAx>
        <c:axId val="4751671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655599889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Nominal Cumulative Nitrofurantoin Release</a:t>
            </a:r>
          </a:p>
        </c:rich>
      </c:tx>
      <c:overlay val="0"/>
    </c:title>
    <c:plotArea>
      <c:layout/>
      <c:lineChart>
        <c:ser>
          <c:idx val="0"/>
          <c:order val="0"/>
          <c:tx>
            <c:v>F1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val>
            <c:numRef>
              <c:f>Dissolution!$B$31:$B$36</c:f>
              <c:numCache/>
            </c:numRef>
          </c:val>
          <c:smooth val="0"/>
        </c:ser>
        <c:ser>
          <c:idx val="1"/>
          <c:order val="1"/>
          <c:tx>
            <c:v>F2</c:v>
          </c:tx>
          <c:spPr>
            <a:ln cmpd="sng">
              <a:solidFill>
                <a:srgbClr val="EA4335"/>
              </a:solidFill>
            </a:ln>
          </c:spPr>
          <c:marker>
            <c:symbol val="none"/>
          </c:marker>
          <c:val>
            <c:numRef>
              <c:f>Dissolution!$C$31:$C$36</c:f>
              <c:numCache/>
            </c:numRef>
          </c:val>
          <c:smooth val="0"/>
        </c:ser>
        <c:ser>
          <c:idx val="2"/>
          <c:order val="2"/>
          <c:tx>
            <c:v>F3</c:v>
          </c:tx>
          <c:spPr>
            <a:ln cmpd="sng">
              <a:solidFill>
                <a:srgbClr val="FBBC04"/>
              </a:solidFill>
            </a:ln>
          </c:spPr>
          <c:marker>
            <c:symbol val="none"/>
          </c:marker>
          <c:val>
            <c:numRef>
              <c:f>Dissolution!$D$31:$D$36</c:f>
              <c:numCache/>
            </c:numRef>
          </c:val>
          <c:smooth val="0"/>
        </c:ser>
        <c:ser>
          <c:idx val="3"/>
          <c:order val="3"/>
          <c:tx>
            <c:v>F4</c:v>
          </c:tx>
          <c:spPr>
            <a:ln cmpd="sng">
              <a:solidFill>
                <a:srgbClr val="34A853"/>
              </a:solidFill>
            </a:ln>
          </c:spPr>
          <c:marker>
            <c:symbol val="none"/>
          </c:marker>
          <c:val>
            <c:numRef>
              <c:f>Dissolution!$E$31:$E$36</c:f>
              <c:numCache/>
            </c:numRef>
          </c:val>
          <c:smooth val="0"/>
        </c:ser>
        <c:ser>
          <c:idx val="4"/>
          <c:order val="4"/>
          <c:tx>
            <c:v>F5</c:v>
          </c:tx>
          <c:spPr>
            <a:ln cmpd="sng">
              <a:solidFill>
                <a:srgbClr val="FF6D01"/>
              </a:solidFill>
            </a:ln>
          </c:spPr>
          <c:marker>
            <c:symbol val="none"/>
          </c:marker>
          <c:val>
            <c:numRef>
              <c:f>Dissolution!$F$31:$F$36</c:f>
              <c:numCache/>
            </c:numRef>
          </c:val>
          <c:smooth val="0"/>
        </c:ser>
        <c:ser>
          <c:idx val="5"/>
          <c:order val="5"/>
          <c:tx>
            <c:v>F6</c:v>
          </c:tx>
          <c:spPr>
            <a:ln cmpd="sng">
              <a:solidFill>
                <a:srgbClr val="46BDC6"/>
              </a:solidFill>
            </a:ln>
          </c:spPr>
          <c:marker>
            <c:symbol val="none"/>
          </c:marker>
          <c:val>
            <c:numRef>
              <c:f>Dissolution!$G$31:$G$36</c:f>
              <c:numCache/>
            </c:numRef>
          </c:val>
          <c:smooth val="0"/>
        </c:ser>
        <c:axId val="1409205142"/>
        <c:axId val="1789125444"/>
      </c:lineChart>
      <c:catAx>
        <c:axId val="14092051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89125444"/>
      </c:catAx>
      <c:valAx>
        <c:axId val="17891254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40920514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Nominal Cumulative Release Profile (0-150 min)</a:t>
            </a:r>
          </a:p>
        </c:rich>
      </c:tx>
      <c:overlay val="0"/>
    </c:title>
    <c:plotArea>
      <c:layout/>
      <c:lineChart>
        <c:ser>
          <c:idx val="0"/>
          <c:order val="0"/>
          <c:tx>
            <c:v>F1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val>
            <c:numRef>
              <c:f>'QC Dashboard'!$B$14:$B$19</c:f>
              <c:numCache/>
            </c:numRef>
          </c:val>
          <c:smooth val="0"/>
        </c:ser>
        <c:ser>
          <c:idx val="1"/>
          <c:order val="1"/>
          <c:tx>
            <c:v>F2</c:v>
          </c:tx>
          <c:spPr>
            <a:ln cmpd="sng">
              <a:solidFill>
                <a:srgbClr val="EA4335"/>
              </a:solidFill>
            </a:ln>
          </c:spPr>
          <c:marker>
            <c:symbol val="none"/>
          </c:marker>
          <c:val>
            <c:numRef>
              <c:f>'QC Dashboard'!$C$14:$C$19</c:f>
              <c:numCache/>
            </c:numRef>
          </c:val>
          <c:smooth val="0"/>
        </c:ser>
        <c:ser>
          <c:idx val="2"/>
          <c:order val="2"/>
          <c:tx>
            <c:v>F3</c:v>
          </c:tx>
          <c:spPr>
            <a:ln cmpd="sng">
              <a:solidFill>
                <a:srgbClr val="FBBC04"/>
              </a:solidFill>
            </a:ln>
          </c:spPr>
          <c:marker>
            <c:symbol val="none"/>
          </c:marker>
          <c:val>
            <c:numRef>
              <c:f>'QC Dashboard'!$D$14:$D$19</c:f>
              <c:numCache/>
            </c:numRef>
          </c:val>
          <c:smooth val="0"/>
        </c:ser>
        <c:ser>
          <c:idx val="3"/>
          <c:order val="3"/>
          <c:tx>
            <c:v>F4</c:v>
          </c:tx>
          <c:spPr>
            <a:ln cmpd="sng">
              <a:solidFill>
                <a:srgbClr val="34A853"/>
              </a:solidFill>
            </a:ln>
          </c:spPr>
          <c:marker>
            <c:symbol val="none"/>
          </c:marker>
          <c:val>
            <c:numRef>
              <c:f>'QC Dashboard'!$E$14:$E$19</c:f>
              <c:numCache/>
            </c:numRef>
          </c:val>
          <c:smooth val="0"/>
        </c:ser>
        <c:ser>
          <c:idx val="4"/>
          <c:order val="4"/>
          <c:tx>
            <c:v>F5</c:v>
          </c:tx>
          <c:spPr>
            <a:ln cmpd="sng">
              <a:solidFill>
                <a:srgbClr val="FF6D01"/>
              </a:solidFill>
            </a:ln>
          </c:spPr>
          <c:marker>
            <c:symbol val="none"/>
          </c:marker>
          <c:val>
            <c:numRef>
              <c:f>'QC Dashboard'!$F$14:$F$19</c:f>
              <c:numCache/>
            </c:numRef>
          </c:val>
          <c:smooth val="0"/>
        </c:ser>
        <c:ser>
          <c:idx val="5"/>
          <c:order val="5"/>
          <c:tx>
            <c:v>F6</c:v>
          </c:tx>
          <c:spPr>
            <a:ln cmpd="sng">
              <a:solidFill>
                <a:srgbClr val="46BDC6"/>
              </a:solidFill>
            </a:ln>
          </c:spPr>
          <c:marker>
            <c:symbol val="none"/>
          </c:marker>
          <c:val>
            <c:numRef>
              <c:f>'QC Dashboard'!$G$14:$G$19</c:f>
              <c:numCache/>
            </c:numRef>
          </c:val>
          <c:smooth val="0"/>
        </c:ser>
        <c:axId val="610742106"/>
        <c:axId val="2008652179"/>
      </c:lineChart>
      <c:catAx>
        <c:axId val="6107421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008652179"/>
      </c:catAx>
      <c:valAx>
        <c:axId val="200865217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1074210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>
                <a:solidFill>
                  <a:srgbClr val="757575"/>
                </a:solidFill>
                <a:latin typeface="+mn-lt"/>
              </a:defRPr>
            </a:pPr>
            <a:r>
              <a:rPr b="0" i="0">
                <a:solidFill>
                  <a:srgbClr val="757575"/>
                </a:solidFill>
                <a:latin typeface="+mn-lt"/>
              </a:rPr>
              <a:t>Drug Content and 150-min Release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Drug content %</c:v>
          </c:tx>
          <c:spPr>
            <a:solidFill>
              <a:srgbClr val="4285F4"/>
            </a:solidFill>
            <a:ln cmpd="sng">
              <a:noFill/>
            </a:ln>
          </c:spPr>
          <c:val>
            <c:numRef>
              <c:f>'QC Dashboard'!$B$4:$B$9</c:f>
              <c:numCache/>
            </c:numRef>
          </c:val>
        </c:ser>
        <c:ser>
          <c:idx val="1"/>
          <c:order val="1"/>
          <c:tx>
            <c:v>150-min release %</c:v>
          </c:tx>
          <c:spPr>
            <a:solidFill>
              <a:srgbClr val="EA4335"/>
            </a:solidFill>
            <a:ln cmpd="sng">
              <a:noFill/>
            </a:ln>
          </c:spPr>
          <c:val>
            <c:numRef>
              <c:f>'QC Dashboard'!$C$4:$C$9</c:f>
              <c:numCache/>
            </c:numRef>
          </c:val>
        </c:ser>
        <c:axId val="986608763"/>
        <c:axId val="110074379"/>
      </c:barChart>
      <c:catAx>
        <c:axId val="9866087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10074379"/>
      </c:catAx>
      <c:valAx>
        <c:axId val="11007437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8660876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Chart1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<Relationships xmlns="http://schemas.openxmlformats.org/package/2006/relationships"><Relationship Id="rId1" Type="http://schemas.openxmlformats.org/officeDocument/2006/relationships/image" Target="../media/Chart5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image" Target="../media/Chart7.png"/></Relationships>
</file>

<file path=xl/drawings/_rels/drawing18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714375</xdr:colOff>
      <xdr:row>9</xdr:row>
      <xdr:rowOff>47625</xdr:rowOff>
    </xdr:from>
    <xdr:ext cx="5153025" cy="3000375"/>
    <xdr:pic>
      <xdr:nvPicPr>
        <xdr:cNvPr id="1067266630" name="Chart1" title="رسم بياني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12</xdr:row>
      <xdr:rowOff>104775</xdr:rowOff>
    </xdr:from>
    <xdr:ext cx="5743575" cy="2333625"/>
    <xdr:graphicFrame>
      <xdr:nvGraphicFramePr>
        <xdr:cNvPr id="36436526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0</xdr:colOff>
      <xdr:row>2</xdr:row>
      <xdr:rowOff>0</xdr:rowOff>
    </xdr:from>
    <xdr:ext cx="5524500" cy="3200400"/>
    <xdr:graphicFrame>
      <xdr:nvGraphicFramePr>
        <xdr:cNvPr id="191340938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142875</xdr:colOff>
      <xdr:row>10</xdr:row>
      <xdr:rowOff>47625</xdr:rowOff>
    </xdr:from>
    <xdr:ext cx="4838700" cy="3133725"/>
    <xdr:graphicFrame>
      <xdr:nvGraphicFramePr>
        <xdr:cNvPr id="1089762925" name="Chart 4" title="رسم بياني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695325</xdr:colOff>
      <xdr:row>18</xdr:row>
      <xdr:rowOff>133350</xdr:rowOff>
    </xdr:from>
    <xdr:ext cx="4191000" cy="2838450"/>
    <xdr:pic>
      <xdr:nvPicPr>
        <xdr:cNvPr id="1867288123" name="Chart5" title="رسم بياني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11</xdr:row>
      <xdr:rowOff>0</xdr:rowOff>
    </xdr:from>
    <xdr:ext cx="10839450" cy="3800475"/>
    <xdr:graphicFrame>
      <xdr:nvGraphicFramePr>
        <xdr:cNvPr id="891517250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8</xdr:col>
      <xdr:colOff>1590675</xdr:colOff>
      <xdr:row>35</xdr:row>
      <xdr:rowOff>19050</xdr:rowOff>
    </xdr:from>
    <xdr:ext cx="4181475" cy="2743200"/>
    <xdr:pic>
      <xdr:nvPicPr>
        <xdr:cNvPr id="1623842987" name="Chart7" title="رسم بياني">
          <a:extLst>
            <a:ext uri="GoogleSheetsCustomDataVersion1">
              <go:sheetsCustomData xmlns:go="http://customooxmlschemas.google.com/" pictureOfChart="1"/>
            </a:ext>
          </a:extLst>
        </xdr:cNvPr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2</xdr:row>
      <xdr:rowOff>0</xdr:rowOff>
    </xdr:from>
    <xdr:ext cx="3486150" cy="2667000"/>
    <xdr:graphicFrame>
      <xdr:nvGraphicFramePr>
        <xdr:cNvPr id="960182782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8</xdr:col>
      <xdr:colOff>0</xdr:colOff>
      <xdr:row>16</xdr:row>
      <xdr:rowOff>0</xdr:rowOff>
    </xdr:from>
    <xdr:ext cx="3486150" cy="2971800"/>
    <xdr:graphicFrame>
      <xdr:nvGraphicFramePr>
        <xdr:cNvPr id="632267153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2.0"/>
    <col customWidth="1" min="2" max="2" width="18.0"/>
    <col customWidth="1" min="3" max="3" width="16.0"/>
    <col customWidth="1" min="4" max="4" width="28.0"/>
    <col customWidth="1" min="5" max="5" width="24.0"/>
    <col customWidth="1" min="6" max="6" width="42.0"/>
    <col customWidth="1" min="7" max="26" width="14.38"/>
  </cols>
  <sheetData>
    <row r="1">
      <c r="A1" s="2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3">
      <c r="A3" s="4" t="s">
        <v>1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</row>
    <row r="4">
      <c r="A4" s="5" t="s">
        <v>7</v>
      </c>
      <c r="B4" s="5">
        <v>360.0</v>
      </c>
      <c r="C4" s="5" t="s">
        <v>8</v>
      </c>
      <c r="D4" s="5" t="s">
        <v>10</v>
      </c>
      <c r="E4" s="5" t="s">
        <v>11</v>
      </c>
      <c r="F4" s="5" t="s">
        <v>12</v>
      </c>
    </row>
    <row r="5">
      <c r="A5" s="5" t="s">
        <v>13</v>
      </c>
      <c r="B5" s="5">
        <v>100.0</v>
      </c>
      <c r="C5" s="5" t="s">
        <v>14</v>
      </c>
      <c r="D5" s="5" t="s">
        <v>15</v>
      </c>
      <c r="E5" s="5" t="s">
        <v>16</v>
      </c>
      <c r="F5" s="5" t="s">
        <v>17</v>
      </c>
    </row>
    <row r="6">
      <c r="A6" s="5" t="s">
        <v>18</v>
      </c>
      <c r="B6" s="5">
        <f>PI()*(B5/20)^2</f>
        <v>78.53981634</v>
      </c>
      <c r="C6" s="5" t="s">
        <v>21</v>
      </c>
      <c r="D6" s="5" t="s">
        <v>23</v>
      </c>
      <c r="E6" s="5" t="s">
        <v>24</v>
      </c>
      <c r="F6" s="5"/>
    </row>
    <row r="7">
      <c r="A7" s="5" t="s">
        <v>27</v>
      </c>
      <c r="B7" s="5" t="s">
        <v>29</v>
      </c>
      <c r="C7" s="5" t="s">
        <v>30</v>
      </c>
      <c r="D7" s="5" t="s">
        <v>32</v>
      </c>
      <c r="E7" s="5" t="s">
        <v>33</v>
      </c>
      <c r="F7" s="5" t="s">
        <v>34</v>
      </c>
    </row>
    <row r="8">
      <c r="A8" s="5" t="s">
        <v>35</v>
      </c>
      <c r="B8" s="5" t="s">
        <v>36</v>
      </c>
      <c r="C8" s="5" t="s">
        <v>30</v>
      </c>
      <c r="D8" s="5" t="s">
        <v>15</v>
      </c>
      <c r="E8" s="5" t="s">
        <v>37</v>
      </c>
      <c r="F8" s="5" t="s">
        <v>38</v>
      </c>
    </row>
    <row r="9">
      <c r="A9" s="5" t="s">
        <v>39</v>
      </c>
      <c r="B9" s="5">
        <v>900.0</v>
      </c>
      <c r="C9" s="5" t="s">
        <v>40</v>
      </c>
      <c r="D9" s="5" t="s">
        <v>15</v>
      </c>
      <c r="E9" s="5" t="s">
        <v>41</v>
      </c>
      <c r="F9" s="5"/>
    </row>
    <row r="10">
      <c r="A10" s="5" t="s">
        <v>42</v>
      </c>
      <c r="B10" s="5">
        <v>3.0</v>
      </c>
      <c r="C10" s="5" t="s">
        <v>40</v>
      </c>
      <c r="D10" s="5" t="s">
        <v>43</v>
      </c>
      <c r="E10" s="5" t="s">
        <v>44</v>
      </c>
      <c r="F10" s="5" t="s">
        <v>45</v>
      </c>
    </row>
    <row r="11">
      <c r="A11" s="5" t="s">
        <v>46</v>
      </c>
      <c r="B11" s="5">
        <v>50.0</v>
      </c>
      <c r="C11" s="5" t="s">
        <v>47</v>
      </c>
      <c r="D11" s="5" t="s">
        <v>15</v>
      </c>
      <c r="E11" s="5" t="s">
        <v>41</v>
      </c>
      <c r="F11" s="5"/>
    </row>
    <row r="12">
      <c r="A12" s="5" t="s">
        <v>48</v>
      </c>
      <c r="B12" s="11">
        <v>32.0</v>
      </c>
      <c r="C12" s="5" t="s">
        <v>49</v>
      </c>
      <c r="D12" s="5" t="s">
        <v>15</v>
      </c>
      <c r="E12" s="5" t="s">
        <v>41</v>
      </c>
      <c r="F12" s="5"/>
    </row>
    <row r="13">
      <c r="A13" s="5" t="s">
        <v>50</v>
      </c>
      <c r="B13" s="5" t="s">
        <v>51</v>
      </c>
      <c r="C13" s="5"/>
      <c r="D13" s="5" t="s">
        <v>52</v>
      </c>
      <c r="E13" s="5" t="s">
        <v>53</v>
      </c>
      <c r="F13" s="5"/>
    </row>
    <row r="14">
      <c r="A14" s="5" t="s">
        <v>54</v>
      </c>
      <c r="B14" s="5">
        <v>25.0</v>
      </c>
      <c r="C14" s="5" t="s">
        <v>55</v>
      </c>
      <c r="D14" s="5" t="s">
        <v>15</v>
      </c>
      <c r="E14" s="5" t="s">
        <v>56</v>
      </c>
      <c r="F14" s="5"/>
    </row>
    <row r="15">
      <c r="A15" s="5" t="s">
        <v>57</v>
      </c>
      <c r="B15" s="5">
        <v>5000.0</v>
      </c>
      <c r="C15" s="5" t="s">
        <v>58</v>
      </c>
      <c r="D15" s="5" t="s">
        <v>15</v>
      </c>
      <c r="E15" s="5" t="s">
        <v>59</v>
      </c>
      <c r="F15" s="5"/>
    </row>
    <row r="16">
      <c r="A16" s="5" t="s">
        <v>60</v>
      </c>
      <c r="B16" s="5">
        <f>B15/B14</f>
        <v>200</v>
      </c>
      <c r="C16" s="5" t="s">
        <v>61</v>
      </c>
      <c r="D16" s="5" t="s">
        <v>62</v>
      </c>
      <c r="E16" s="5" t="s">
        <v>63</v>
      </c>
      <c r="F16" s="5"/>
    </row>
    <row r="17">
      <c r="A17" s="5" t="s">
        <v>64</v>
      </c>
      <c r="B17" s="5">
        <v>100.0</v>
      </c>
      <c r="C17" s="5" t="s">
        <v>58</v>
      </c>
      <c r="D17" s="5" t="s">
        <v>65</v>
      </c>
      <c r="E17" s="5" t="s">
        <v>63</v>
      </c>
      <c r="F17" s="5"/>
    </row>
    <row r="18">
      <c r="A18" s="5" t="s">
        <v>66</v>
      </c>
      <c r="B18" s="5">
        <v>20.0</v>
      </c>
      <c r="C18" s="5" t="s">
        <v>67</v>
      </c>
      <c r="D18" s="5" t="s">
        <v>68</v>
      </c>
      <c r="E18" s="5" t="s">
        <v>69</v>
      </c>
      <c r="F18" s="5" t="s">
        <v>71</v>
      </c>
    </row>
    <row r="19">
      <c r="A19" s="5" t="s">
        <v>72</v>
      </c>
      <c r="B19" s="5">
        <v>10.0</v>
      </c>
      <c r="C19" s="5" t="s">
        <v>58</v>
      </c>
      <c r="D19" s="5" t="s">
        <v>73</v>
      </c>
      <c r="E19" s="5" t="s">
        <v>74</v>
      </c>
      <c r="F19" s="5" t="s">
        <v>75</v>
      </c>
    </row>
    <row r="20">
      <c r="A20" s="5" t="s">
        <v>76</v>
      </c>
      <c r="B20" s="5">
        <v>10.0</v>
      </c>
      <c r="C20" s="5" t="s">
        <v>58</v>
      </c>
      <c r="D20" s="5" t="s">
        <v>15</v>
      </c>
      <c r="E20" s="5" t="s">
        <v>74</v>
      </c>
      <c r="F20" s="5"/>
    </row>
    <row r="21" ht="15.75" customHeight="1">
      <c r="A21" s="5" t="s">
        <v>77</v>
      </c>
      <c r="B21" s="5">
        <v>10.0</v>
      </c>
      <c r="C21" s="5" t="s">
        <v>78</v>
      </c>
      <c r="D21" s="5" t="s">
        <v>79</v>
      </c>
      <c r="E21" s="5" t="s">
        <v>80</v>
      </c>
      <c r="F21" s="5" t="s">
        <v>81</v>
      </c>
    </row>
    <row r="22" ht="15.75" customHeight="1">
      <c r="A22" s="5" t="s">
        <v>82</v>
      </c>
      <c r="B22" s="11" t="s">
        <v>20</v>
      </c>
      <c r="C22" s="5"/>
      <c r="D22" s="5" t="s">
        <v>83</v>
      </c>
      <c r="E22" s="5" t="s">
        <v>84</v>
      </c>
      <c r="F22" s="5" t="s">
        <v>85</v>
      </c>
    </row>
    <row r="23" ht="15.75" customHeight="1">
      <c r="A23" s="5" t="s">
        <v>86</v>
      </c>
      <c r="B23" s="11">
        <v>5.0</v>
      </c>
      <c r="C23" s="5" t="s">
        <v>30</v>
      </c>
      <c r="D23" s="5" t="s">
        <v>87</v>
      </c>
      <c r="E23" s="5" t="s">
        <v>88</v>
      </c>
      <c r="F23" s="11" t="s">
        <v>89</v>
      </c>
    </row>
    <row r="24" ht="15.75" customHeight="1">
      <c r="A24" s="12" t="s">
        <v>90</v>
      </c>
      <c r="B24" s="12" t="s">
        <v>36</v>
      </c>
      <c r="C24" s="12" t="s">
        <v>30</v>
      </c>
      <c r="D24" s="12" t="s">
        <v>91</v>
      </c>
      <c r="E24" s="12" t="s">
        <v>92</v>
      </c>
      <c r="F24" s="12" t="s">
        <v>38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6" width="12.63"/>
  </cols>
  <sheetData>
    <row r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6" t="s">
        <v>9</v>
      </c>
      <c r="C3" s="7"/>
      <c r="D3" s="7"/>
      <c r="E3" s="7"/>
      <c r="F3" s="7"/>
      <c r="G3" s="7"/>
      <c r="H3" s="7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8" t="s">
        <v>19</v>
      </c>
      <c r="C4" s="9" t="s">
        <v>20</v>
      </c>
      <c r="D4" s="9" t="s">
        <v>22</v>
      </c>
      <c r="E4" s="9" t="s">
        <v>25</v>
      </c>
      <c r="F4" s="9" t="s">
        <v>26</v>
      </c>
      <c r="G4" s="9" t="s">
        <v>28</v>
      </c>
      <c r="H4" s="9" t="s">
        <v>31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0"/>
      <c r="C5" s="9">
        <v>0.1</v>
      </c>
      <c r="D5" s="9">
        <v>0.1</v>
      </c>
      <c r="E5" s="9">
        <v>0.7</v>
      </c>
      <c r="F5" s="9">
        <v>0.8</v>
      </c>
      <c r="G5" s="9">
        <v>0.2</v>
      </c>
      <c r="H5" s="9"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0"/>
      <c r="C6" s="9">
        <v>0.2</v>
      </c>
      <c r="D6" s="9">
        <v>0.1</v>
      </c>
      <c r="E6" s="9">
        <v>0.5</v>
      </c>
      <c r="F6" s="9">
        <v>0.9</v>
      </c>
      <c r="G6" s="9">
        <v>0.1</v>
      </c>
      <c r="H6" s="9">
        <v>0.1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0"/>
      <c r="C7" s="9">
        <v>0.1</v>
      </c>
      <c r="D7" s="9">
        <v>0.1</v>
      </c>
      <c r="E7" s="9">
        <v>0.5</v>
      </c>
      <c r="F7" s="9">
        <v>0.11</v>
      </c>
      <c r="G7" s="9">
        <v>0.2</v>
      </c>
      <c r="H7" s="9">
        <v>0.3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"/>
      <c r="B8" s="8" t="s">
        <v>70</v>
      </c>
      <c r="C8" s="9">
        <f t="shared" ref="C8:H8" si="1">AVERAGE(C5:C7)</f>
        <v>0.1333333333</v>
      </c>
      <c r="D8" s="9">
        <f t="shared" si="1"/>
        <v>0.1</v>
      </c>
      <c r="E8" s="9">
        <f t="shared" si="1"/>
        <v>0.5666666667</v>
      </c>
      <c r="F8" s="9">
        <f t="shared" si="1"/>
        <v>0.6033333333</v>
      </c>
      <c r="G8" s="9">
        <f t="shared" si="1"/>
        <v>0.1666666667</v>
      </c>
      <c r="H8" s="9">
        <f t="shared" si="1"/>
        <v>0.2333333333</v>
      </c>
      <c r="I8" s="1"/>
      <c r="J8" s="1"/>
      <c r="K8" s="1"/>
      <c r="L8" s="1"/>
      <c r="S8" s="1"/>
      <c r="T8" s="1"/>
      <c r="U8" s="1"/>
      <c r="V8" s="1"/>
      <c r="W8" s="1"/>
      <c r="X8" s="1"/>
      <c r="Y8" s="1"/>
      <c r="Z8" s="1"/>
    </row>
    <row r="9">
      <c r="A9" s="1"/>
      <c r="B9" s="1"/>
      <c r="C9" s="1"/>
      <c r="D9" s="1"/>
      <c r="E9" s="1"/>
      <c r="F9" s="1"/>
      <c r="G9" s="1"/>
      <c r="H9" s="1"/>
      <c r="I9" s="1"/>
      <c r="J9" s="1"/>
      <c r="K9" s="1"/>
      <c r="S9" s="1"/>
      <c r="T9" s="1"/>
      <c r="U9" s="1"/>
      <c r="V9" s="1"/>
      <c r="W9" s="1"/>
      <c r="X9" s="1"/>
      <c r="Y9" s="1"/>
      <c r="Z9" s="1"/>
    </row>
    <row r="10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S10" s="1"/>
      <c r="T10" s="1"/>
      <c r="U10" s="1"/>
      <c r="V10" s="1"/>
      <c r="W10" s="1"/>
      <c r="X10" s="1"/>
      <c r="Y10" s="1"/>
      <c r="Z10" s="1"/>
    </row>
    <row r="11">
      <c r="A11" s="1"/>
      <c r="B11" s="8" t="s">
        <v>19</v>
      </c>
      <c r="C11" s="8" t="s">
        <v>20</v>
      </c>
      <c r="D11" s="8" t="s">
        <v>22</v>
      </c>
      <c r="E11" s="8" t="s">
        <v>25</v>
      </c>
      <c r="F11" s="8" t="s">
        <v>26</v>
      </c>
      <c r="G11" s="8" t="s">
        <v>28</v>
      </c>
      <c r="H11" s="8" t="s">
        <v>31</v>
      </c>
      <c r="I11" s="1"/>
      <c r="J11" s="1"/>
      <c r="K11" s="1"/>
      <c r="S11" s="1"/>
      <c r="T11" s="1"/>
      <c r="U11" s="1"/>
      <c r="V11" s="1"/>
      <c r="W11" s="1"/>
      <c r="X11" s="1"/>
      <c r="Y11" s="1"/>
      <c r="Z11" s="1"/>
    </row>
    <row r="12">
      <c r="A12" s="1"/>
      <c r="B12" s="8" t="s">
        <v>93</v>
      </c>
      <c r="C12" s="13">
        <v>0.049</v>
      </c>
      <c r="D12" s="13">
        <v>0.026</v>
      </c>
      <c r="E12" s="13">
        <v>0.094</v>
      </c>
      <c r="F12" s="13">
        <v>0.015</v>
      </c>
      <c r="G12" s="13">
        <v>0.045</v>
      </c>
      <c r="H12" s="13">
        <v>0.082</v>
      </c>
      <c r="I12" s="1"/>
      <c r="J12" s="1"/>
      <c r="K12" s="1"/>
      <c r="S12" s="1"/>
      <c r="T12" s="1"/>
      <c r="U12" s="1"/>
      <c r="V12" s="1"/>
      <c r="W12" s="1"/>
      <c r="X12" s="1"/>
      <c r="Y12" s="1"/>
      <c r="Z12" s="1"/>
    </row>
    <row r="13">
      <c r="A13" s="1"/>
      <c r="B13" s="14" t="s">
        <v>94</v>
      </c>
      <c r="C13" s="15">
        <f t="shared" ref="C13:H13" si="2">4*(C8/10)</f>
        <v>0.05333333333</v>
      </c>
      <c r="D13" s="15">
        <f t="shared" si="2"/>
        <v>0.04</v>
      </c>
      <c r="E13" s="15">
        <f t="shared" si="2"/>
        <v>0.2266666667</v>
      </c>
      <c r="F13" s="15">
        <f t="shared" si="2"/>
        <v>0.2413333333</v>
      </c>
      <c r="G13" s="15">
        <f t="shared" si="2"/>
        <v>0.06666666667</v>
      </c>
      <c r="H13" s="15">
        <f t="shared" si="2"/>
        <v>0.09333333333</v>
      </c>
      <c r="I13" s="1"/>
      <c r="J13" s="1"/>
      <c r="K13" s="1"/>
      <c r="S13" s="1"/>
      <c r="T13" s="1"/>
      <c r="U13" s="1"/>
      <c r="V13" s="1"/>
      <c r="W13" s="1"/>
      <c r="X13" s="1"/>
      <c r="Y13" s="1"/>
      <c r="Z13" s="1"/>
    </row>
    <row r="14">
      <c r="A14" s="1"/>
      <c r="B14" s="16" t="s">
        <v>95</v>
      </c>
      <c r="C14" s="15">
        <f t="shared" ref="C14:H14" si="3">C12/C13</f>
        <v>0.91875</v>
      </c>
      <c r="D14" s="15">
        <f t="shared" si="3"/>
        <v>0.65</v>
      </c>
      <c r="E14" s="15">
        <f t="shared" si="3"/>
        <v>0.4147058824</v>
      </c>
      <c r="F14" s="15">
        <f t="shared" si="3"/>
        <v>0.06215469613</v>
      </c>
      <c r="G14" s="15">
        <f t="shared" si="3"/>
        <v>0.675</v>
      </c>
      <c r="H14" s="15">
        <f t="shared" si="3"/>
        <v>0.8785714286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>
      <c r="A16" s="1"/>
      <c r="B16" s="19" t="s">
        <v>97</v>
      </c>
      <c r="C16" s="20"/>
      <c r="D16" s="20"/>
      <c r="E16" s="20"/>
      <c r="F16" s="20"/>
      <c r="G16" s="20"/>
      <c r="H16" s="21"/>
      <c r="I16" s="1"/>
      <c r="J16" s="1"/>
      <c r="K16" s="1"/>
      <c r="L16" s="22"/>
      <c r="R16" s="1"/>
      <c r="S16" s="1"/>
      <c r="T16" s="1"/>
      <c r="U16" s="1"/>
      <c r="V16" s="1"/>
      <c r="W16" s="1"/>
      <c r="X16" s="1"/>
      <c r="Y16" s="1"/>
      <c r="Z16" s="1"/>
    </row>
    <row r="17">
      <c r="A17" s="1"/>
      <c r="B17" s="8"/>
      <c r="C17" s="13"/>
      <c r="D17" s="13"/>
      <c r="E17" s="13"/>
      <c r="F17" s="13"/>
      <c r="G17" s="13"/>
      <c r="H17" s="13"/>
      <c r="I17" s="1"/>
      <c r="J17" s="1"/>
      <c r="K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1"/>
      <c r="B18" s="16"/>
      <c r="C18" s="23"/>
      <c r="D18" s="23"/>
      <c r="E18" s="23"/>
      <c r="F18" s="23"/>
      <c r="G18" s="23"/>
      <c r="H18" s="23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1"/>
      <c r="B19" s="1"/>
      <c r="C19" s="1"/>
      <c r="D19" s="1"/>
      <c r="E19" s="1"/>
      <c r="F19" s="1"/>
      <c r="G19" s="1"/>
      <c r="H19" s="1"/>
      <c r="I19" s="1"/>
      <c r="J19" s="1"/>
      <c r="K19" s="24" t="s">
        <v>19</v>
      </c>
      <c r="L19" s="24" t="s">
        <v>102</v>
      </c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1"/>
      <c r="B20" s="1"/>
      <c r="C20" s="1"/>
      <c r="D20" s="1"/>
      <c r="E20" s="1"/>
      <c r="F20" s="1"/>
      <c r="G20" s="1"/>
      <c r="H20" s="1"/>
      <c r="I20" s="1"/>
      <c r="J20" s="1"/>
      <c r="K20" s="25"/>
      <c r="L20" s="25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26" t="s">
        <v>20</v>
      </c>
      <c r="L21" s="26">
        <f>C14</f>
        <v>0.91875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1"/>
      <c r="B22" s="1"/>
      <c r="C22" s="1"/>
      <c r="D22" s="1"/>
      <c r="E22" s="1"/>
      <c r="F22" s="1"/>
      <c r="G22" s="1"/>
      <c r="H22" s="1"/>
      <c r="I22" s="1"/>
      <c r="J22" s="1"/>
      <c r="K22" s="26" t="s">
        <v>22</v>
      </c>
      <c r="L22" s="26">
        <f>D14</f>
        <v>0.65</v>
      </c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26" t="s">
        <v>25</v>
      </c>
      <c r="L23" s="26">
        <f>E14</f>
        <v>0.4147058824</v>
      </c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1"/>
      <c r="B24" s="1"/>
      <c r="C24" s="1"/>
      <c r="D24" s="1"/>
      <c r="E24" s="1"/>
      <c r="F24" s="1"/>
      <c r="G24" s="1"/>
      <c r="H24" s="1"/>
      <c r="I24" s="1"/>
      <c r="J24" s="1"/>
      <c r="K24" s="26" t="s">
        <v>26</v>
      </c>
      <c r="L24" s="26">
        <f>F14</f>
        <v>0.06215469613</v>
      </c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26" t="s">
        <v>28</v>
      </c>
      <c r="L25" s="26">
        <f>G14</f>
        <v>0.675</v>
      </c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26" t="s">
        <v>31</v>
      </c>
      <c r="L26" s="26">
        <f>H14</f>
        <v>0.8785714286</v>
      </c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1"/>
      <c r="D28" s="1"/>
      <c r="E28" s="1"/>
      <c r="F28" s="1"/>
      <c r="G28" s="1"/>
      <c r="H28" s="27"/>
      <c r="I28" s="27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1"/>
      <c r="B29" s="1"/>
      <c r="C29" s="1"/>
      <c r="D29" s="1"/>
      <c r="E29" s="1"/>
      <c r="F29" s="1"/>
      <c r="G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1"/>
      <c r="B30" s="1"/>
      <c r="C30" s="1"/>
      <c r="D30" s="1"/>
      <c r="E30" s="1"/>
      <c r="F30" s="1"/>
      <c r="G30" s="1"/>
      <c r="H30" s="27"/>
      <c r="I30" s="28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27"/>
      <c r="I31" s="28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1"/>
      <c r="B32" s="1"/>
      <c r="C32" s="1"/>
      <c r="D32" s="1"/>
      <c r="E32" s="1"/>
      <c r="F32" s="1"/>
      <c r="G32" s="1"/>
      <c r="H32" s="27"/>
      <c r="I32" s="28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1"/>
      <c r="B33" s="1"/>
      <c r="C33" s="1"/>
      <c r="D33" s="1"/>
      <c r="E33" s="1"/>
      <c r="F33" s="1"/>
      <c r="G33" s="1"/>
      <c r="H33" s="27"/>
      <c r="I33" s="28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1"/>
      <c r="B34" s="1"/>
      <c r="C34" s="1"/>
      <c r="D34" s="1"/>
      <c r="E34" s="1"/>
      <c r="F34" s="1"/>
      <c r="G34" s="1"/>
      <c r="H34" s="27"/>
      <c r="I34" s="28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1"/>
      <c r="B35" s="1"/>
      <c r="C35" s="1"/>
      <c r="D35" s="1"/>
      <c r="E35" s="1"/>
      <c r="F35" s="1"/>
      <c r="G35" s="1"/>
      <c r="H35" s="27"/>
      <c r="I35" s="28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5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5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5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5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5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5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5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5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5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B3:H3"/>
    <mergeCell ref="L8:R13"/>
    <mergeCell ref="B16:H16"/>
    <mergeCell ref="L16:Q17"/>
    <mergeCell ref="K19:K20"/>
    <mergeCell ref="L19:L20"/>
    <mergeCell ref="H28:H29"/>
    <mergeCell ref="I28:I29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63"/>
    <col customWidth="1" min="2" max="2" width="9.63"/>
    <col customWidth="1" min="3" max="3" width="8.75"/>
    <col customWidth="1" min="4" max="4" width="25.0"/>
    <col customWidth="1" min="5" max="6" width="8.75"/>
    <col customWidth="1" min="7" max="26" width="14.38"/>
  </cols>
  <sheetData>
    <row r="1">
      <c r="A1" s="17" t="s">
        <v>134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>
      <c r="A3" s="4" t="s">
        <v>135</v>
      </c>
      <c r="B3" s="4" t="s">
        <v>99</v>
      </c>
      <c r="C3" s="18"/>
      <c r="D3" s="35" t="s">
        <v>136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>
      <c r="A4" s="18">
        <v>310.0</v>
      </c>
      <c r="B4" s="18">
        <v>1.69</v>
      </c>
      <c r="C4" s="18"/>
      <c r="D4" s="18">
        <v>360.0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>
      <c r="A5" s="18">
        <v>320.0</v>
      </c>
      <c r="B5" s="18">
        <v>1.805</v>
      </c>
      <c r="C5" s="18"/>
      <c r="D5" s="35" t="s">
        <v>137</v>
      </c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>
      <c r="A6" s="18">
        <v>330.0</v>
      </c>
      <c r="B6" s="18">
        <v>1.884</v>
      </c>
      <c r="C6" s="18"/>
      <c r="D6" s="18">
        <f>MAX(B4:B12)</f>
        <v>1.99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>
      <c r="A7" s="18">
        <v>340.0</v>
      </c>
      <c r="B7" s="18">
        <v>1.905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>
      <c r="A8" s="18">
        <v>350.0</v>
      </c>
      <c r="B8" s="18">
        <v>1.935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>
      <c r="A9" s="18">
        <v>360.0</v>
      </c>
      <c r="B9" s="18">
        <v>1.99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>
      <c r="A10" s="18">
        <v>365.0</v>
      </c>
      <c r="B10" s="18">
        <v>1.91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>
      <c r="A11" s="18">
        <v>370.0</v>
      </c>
      <c r="B11" s="18">
        <v>1.2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>
      <c r="A12" s="18">
        <v>380.0</v>
      </c>
      <c r="B12" s="18">
        <v>0.9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3" width="16.0"/>
    <col customWidth="1" min="4" max="4" width="20.0"/>
    <col customWidth="1" min="5" max="5" width="24.0"/>
    <col customWidth="1" min="6" max="6" width="16.0"/>
    <col customWidth="1" min="7" max="26" width="14.38"/>
  </cols>
  <sheetData>
    <row r="1">
      <c r="A1" s="17" t="s">
        <v>96</v>
      </c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>
      <c r="A3" s="4" t="s">
        <v>98</v>
      </c>
      <c r="B3" s="4" t="s">
        <v>99</v>
      </c>
      <c r="C3" s="18"/>
      <c r="D3" s="4" t="s">
        <v>1</v>
      </c>
      <c r="E3" s="4" t="s">
        <v>2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</row>
    <row r="4">
      <c r="A4" s="18">
        <v>0.0</v>
      </c>
      <c r="B4" s="18">
        <v>0.0</v>
      </c>
      <c r="C4" s="18"/>
      <c r="D4" s="18" t="s">
        <v>100</v>
      </c>
      <c r="E4" s="18">
        <f>SLOPE(B4:B11,A4:A11)</f>
        <v>0.04629766573</v>
      </c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>
      <c r="A5" s="18">
        <v>2.5</v>
      </c>
      <c r="B5" s="18">
        <v>0.202</v>
      </c>
      <c r="C5" s="18"/>
      <c r="D5" s="18" t="s">
        <v>101</v>
      </c>
      <c r="E5" s="18">
        <f>INTERCEPT(B4:B11,A4:A11)</f>
        <v>0.04812511671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>
      <c r="A6" s="18">
        <v>5.0</v>
      </c>
      <c r="B6" s="18">
        <v>0.29</v>
      </c>
      <c r="C6" s="18"/>
      <c r="D6" s="18" t="s">
        <v>103</v>
      </c>
      <c r="E6" s="18">
        <f>RSQ(B4:B11,A4:A11)</f>
        <v>0.9962334791</v>
      </c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>
      <c r="A7" s="18">
        <v>10.0</v>
      </c>
      <c r="B7" s="18">
        <v>0.511</v>
      </c>
      <c r="C7" s="18"/>
      <c r="D7" s="18" t="s">
        <v>104</v>
      </c>
      <c r="E7" s="18" t="str">
        <f>"Abs = "&amp;TEXT(E4,"0.00000")&amp;" × C + "&amp;TEXT(E5,"0.00000")</f>
        <v>Abs = 0٫04630 × C + 0٫04813</v>
      </c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</row>
    <row r="8">
      <c r="A8" s="18">
        <v>15.0</v>
      </c>
      <c r="B8" s="18">
        <v>0.73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</row>
    <row r="9">
      <c r="A9" s="18">
        <v>20.0</v>
      </c>
      <c r="B9" s="18">
        <v>0.99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</row>
    <row r="10">
      <c r="A10" s="18">
        <v>25.0</v>
      </c>
      <c r="B10" s="18">
        <v>1.239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>
      <c r="A11" s="18">
        <v>30.0</v>
      </c>
      <c r="B11" s="18">
        <v>1.4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16.0"/>
    <col customWidth="1" min="3" max="4" width="12.0"/>
    <col customWidth="1" min="5" max="5" width="18.0"/>
    <col customWidth="1" min="6" max="7" width="12.0"/>
    <col customWidth="1" min="8" max="8" width="18.0"/>
    <col customWidth="1" min="9" max="9" width="16.38"/>
    <col customWidth="1" min="10" max="11" width="14.0"/>
    <col customWidth="1" min="12" max="12" width="24.0"/>
    <col customWidth="1" min="13" max="13" width="12.0"/>
    <col customWidth="1" min="14" max="14" width="10.0"/>
    <col customWidth="1" min="15" max="15" width="8.0"/>
    <col customWidth="1" min="16" max="16" width="42.0"/>
    <col customWidth="1" min="17" max="26" width="14.38"/>
  </cols>
  <sheetData>
    <row r="1" ht="33.75" customHeight="1">
      <c r="A1" s="2" t="s">
        <v>105</v>
      </c>
      <c r="Q1" s="29"/>
      <c r="R1" s="29"/>
      <c r="S1" s="29"/>
      <c r="T1" s="29"/>
      <c r="U1" s="29"/>
      <c r="V1" s="29"/>
      <c r="W1" s="29"/>
      <c r="X1" s="29"/>
      <c r="Y1" s="29"/>
      <c r="Z1" s="29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30" t="s">
        <v>19</v>
      </c>
      <c r="B3" s="30" t="s">
        <v>106</v>
      </c>
      <c r="C3" s="30" t="s">
        <v>107</v>
      </c>
      <c r="D3" s="30" t="s">
        <v>108</v>
      </c>
      <c r="E3" s="30" t="s">
        <v>109</v>
      </c>
      <c r="F3" s="30" t="s">
        <v>110</v>
      </c>
      <c r="G3" s="30" t="s">
        <v>111</v>
      </c>
      <c r="H3" s="30" t="s">
        <v>112</v>
      </c>
      <c r="I3" s="30" t="s">
        <v>113</v>
      </c>
      <c r="J3" s="30" t="s">
        <v>114</v>
      </c>
      <c r="K3" s="30" t="s">
        <v>115</v>
      </c>
      <c r="L3" s="31" t="s">
        <v>116</v>
      </c>
      <c r="M3" s="30" t="s">
        <v>117</v>
      </c>
      <c r="N3" s="30" t="s">
        <v>118</v>
      </c>
      <c r="O3" s="30" t="s">
        <v>119</v>
      </c>
      <c r="P3" s="32"/>
      <c r="Q3" s="33"/>
      <c r="R3" s="33"/>
      <c r="S3" s="33"/>
      <c r="T3" s="33"/>
      <c r="U3" s="33"/>
      <c r="V3" s="33"/>
      <c r="W3" s="33"/>
      <c r="X3" s="33"/>
      <c r="Y3" s="33"/>
      <c r="Z3" s="33"/>
    </row>
    <row r="4">
      <c r="A4" s="5" t="s">
        <v>20</v>
      </c>
      <c r="B4" s="5">
        <f t="shared" ref="B4:D4" si="1">H13</f>
        <v>308.2</v>
      </c>
      <c r="C4" s="5">
        <f t="shared" si="1"/>
        <v>41.28801279</v>
      </c>
      <c r="D4" s="5">
        <f t="shared" si="1"/>
        <v>13.39649993</v>
      </c>
      <c r="E4" s="5">
        <f t="shared" ref="E4:G4" si="2">H14</f>
        <v>208.6</v>
      </c>
      <c r="F4" s="5">
        <f t="shared" si="2"/>
        <v>16.24192107</v>
      </c>
      <c r="G4" s="5">
        <f t="shared" si="2"/>
        <v>7.786155833</v>
      </c>
      <c r="H4" s="5" t="s">
        <v>120</v>
      </c>
      <c r="I4" s="5">
        <f t="shared" ref="I4:J4" si="3">H16</f>
        <v>8.2</v>
      </c>
      <c r="J4" s="5">
        <f t="shared" si="3"/>
        <v>0.4472135955</v>
      </c>
      <c r="K4" s="5">
        <f>IF('Study Inputs'!B23="","",((I4-'Study Inputs'!B23)/'Study Inputs'!B23)*100)</f>
        <v>64</v>
      </c>
      <c r="L4" s="5">
        <f t="shared" ref="L4:M4" si="4">H17</f>
        <v>37.14</v>
      </c>
      <c r="M4" s="5">
        <f t="shared" si="4"/>
        <v>1.515915565</v>
      </c>
      <c r="N4" s="5">
        <f>COUNT(C17:G17)</f>
        <v>5</v>
      </c>
      <c r="O4" s="5">
        <v>5.5</v>
      </c>
      <c r="P4" s="5"/>
      <c r="Q4" s="18"/>
      <c r="R4" s="18"/>
      <c r="S4" s="18"/>
      <c r="T4" s="18"/>
      <c r="U4" s="18"/>
      <c r="V4" s="18"/>
      <c r="W4" s="18"/>
      <c r="X4" s="18"/>
      <c r="Y4" s="18"/>
      <c r="Z4" s="18"/>
    </row>
    <row r="5">
      <c r="A5" s="5" t="s">
        <v>22</v>
      </c>
      <c r="B5" s="5">
        <f t="shared" ref="B5:D5" si="5">H18</f>
        <v>307.5</v>
      </c>
      <c r="C5" s="5">
        <f t="shared" si="5"/>
        <v>43.16055298</v>
      </c>
      <c r="D5" s="5">
        <f t="shared" si="5"/>
        <v>14.03595219</v>
      </c>
      <c r="E5" s="5">
        <f t="shared" ref="E5:G5" si="6">H19</f>
        <v>142.5</v>
      </c>
      <c r="F5" s="5">
        <f t="shared" si="6"/>
        <v>24.31049156</v>
      </c>
      <c r="G5" s="5">
        <f t="shared" si="6"/>
        <v>17.05999408</v>
      </c>
      <c r="H5" s="5" t="s">
        <v>120</v>
      </c>
      <c r="I5" s="5">
        <f t="shared" ref="I5:J5" si="7">H21</f>
        <v>9</v>
      </c>
      <c r="J5" s="5">
        <f t="shared" si="7"/>
        <v>0.4082482905</v>
      </c>
      <c r="K5" s="5">
        <f>IF('Study Inputs'!B23="","",((I5-'Study Inputs'!B23)/'Study Inputs'!B23)*100)</f>
        <v>80</v>
      </c>
      <c r="L5" s="5">
        <f t="shared" ref="L5:M5" si="8">H22</f>
        <v>37.64</v>
      </c>
      <c r="M5" s="5">
        <f t="shared" si="8"/>
        <v>0.5176871642</v>
      </c>
      <c r="N5" s="5">
        <f>COUNT(C22:G22)</f>
        <v>5</v>
      </c>
      <c r="O5" s="5">
        <v>5.7</v>
      </c>
      <c r="P5" s="11"/>
      <c r="Q5" s="18"/>
      <c r="R5" s="18"/>
      <c r="S5" s="18"/>
      <c r="T5" s="18"/>
      <c r="U5" s="18"/>
      <c r="V5" s="18"/>
      <c r="W5" s="18"/>
      <c r="X5" s="18"/>
      <c r="Y5" s="18"/>
      <c r="Z5" s="18"/>
    </row>
    <row r="6">
      <c r="A6" s="5" t="s">
        <v>25</v>
      </c>
      <c r="B6" s="5">
        <f t="shared" ref="B6:D6" si="9">H23</f>
        <v>395.6</v>
      </c>
      <c r="C6" s="5">
        <f t="shared" si="9"/>
        <v>21.0309296</v>
      </c>
      <c r="D6" s="5">
        <f t="shared" si="9"/>
        <v>5.316210719</v>
      </c>
      <c r="E6" s="5">
        <f t="shared" ref="E6:G6" si="10">H24</f>
        <v>212.6</v>
      </c>
      <c r="F6" s="5">
        <f t="shared" si="10"/>
        <v>15.22497947</v>
      </c>
      <c r="G6" s="5">
        <f t="shared" si="10"/>
        <v>7.161326187</v>
      </c>
      <c r="H6" s="5" t="s">
        <v>120</v>
      </c>
      <c r="I6" s="5">
        <f t="shared" ref="I6:J6" si="11">H26</f>
        <v>8.4</v>
      </c>
      <c r="J6" s="5">
        <f t="shared" si="11"/>
        <v>0.894427191</v>
      </c>
      <c r="K6" s="5">
        <f>IF('Study Inputs'!B23="","",((I6-'Study Inputs'!B23)/'Study Inputs'!B23)*100)</f>
        <v>68</v>
      </c>
      <c r="L6" s="5">
        <f t="shared" ref="L6:M6" si="12">H27</f>
        <v>25.6</v>
      </c>
      <c r="M6" s="5">
        <f t="shared" si="12"/>
        <v>1.516575089</v>
      </c>
      <c r="N6" s="5">
        <f>COUNT(C27:G27)</f>
        <v>5</v>
      </c>
      <c r="O6" s="5">
        <v>5.73</v>
      </c>
      <c r="P6" s="5"/>
      <c r="Q6" s="18"/>
      <c r="R6" s="18"/>
      <c r="S6" s="18"/>
      <c r="T6" s="18"/>
      <c r="U6" s="18"/>
      <c r="V6" s="18"/>
      <c r="W6" s="18"/>
      <c r="X6" s="18"/>
      <c r="Y6" s="18"/>
      <c r="Z6" s="18"/>
    </row>
    <row r="7">
      <c r="A7" s="5" t="s">
        <v>26</v>
      </c>
      <c r="B7" s="5">
        <f t="shared" ref="B7:D7" si="13">H28</f>
        <v>237.7</v>
      </c>
      <c r="C7" s="5">
        <f t="shared" si="13"/>
        <v>17.66210633</v>
      </c>
      <c r="D7" s="5">
        <f t="shared" si="13"/>
        <v>7.430419154</v>
      </c>
      <c r="E7" s="5">
        <f t="shared" ref="E7:G7" si="14">H29</f>
        <v>116.6</v>
      </c>
      <c r="F7" s="5">
        <f t="shared" si="14"/>
        <v>18.37933622</v>
      </c>
      <c r="G7" s="5">
        <f t="shared" si="14"/>
        <v>15.76272403</v>
      </c>
      <c r="H7" s="5" t="s">
        <v>120</v>
      </c>
      <c r="I7" s="5">
        <f t="shared" ref="I7:J7" si="15">H31</f>
        <v>9.5</v>
      </c>
      <c r="J7" s="5">
        <f t="shared" si="15"/>
        <v>0</v>
      </c>
      <c r="K7" s="5">
        <f>IF('Study Inputs'!B23="","",((I7-'Study Inputs'!B23)/'Study Inputs'!B23)*100)</f>
        <v>90</v>
      </c>
      <c r="L7" s="5">
        <f t="shared" ref="L7:M7" si="16">H32</f>
        <v>29.86</v>
      </c>
      <c r="M7" s="5">
        <f t="shared" si="16"/>
        <v>11.39179529</v>
      </c>
      <c r="N7" s="5">
        <f>COUNT(C32:G32)</f>
        <v>5</v>
      </c>
      <c r="O7" s="5">
        <v>5.65</v>
      </c>
      <c r="P7" s="5"/>
      <c r="Q7" s="18"/>
      <c r="R7" s="18"/>
      <c r="S7" s="18"/>
      <c r="T7" s="18"/>
      <c r="U7" s="18"/>
      <c r="V7" s="18"/>
      <c r="W7" s="18"/>
      <c r="X7" s="18"/>
      <c r="Y7" s="18"/>
      <c r="Z7" s="18"/>
    </row>
    <row r="8">
      <c r="A8" s="5" t="s">
        <v>28</v>
      </c>
      <c r="B8" s="5">
        <f t="shared" ref="B8:D8" si="17">H33</f>
        <v>234.4</v>
      </c>
      <c r="C8" s="5">
        <f t="shared" si="17"/>
        <v>13.97497764</v>
      </c>
      <c r="D8" s="5">
        <f t="shared" si="17"/>
        <v>5.962021177</v>
      </c>
      <c r="E8" s="5">
        <f t="shared" ref="E8:G8" si="18">H34</f>
        <v>156</v>
      </c>
      <c r="F8" s="5">
        <f t="shared" si="18"/>
        <v>7.416198487</v>
      </c>
      <c r="G8" s="5">
        <f t="shared" si="18"/>
        <v>4.753973389</v>
      </c>
      <c r="H8" s="5" t="s">
        <v>120</v>
      </c>
      <c r="I8" s="5">
        <f t="shared" ref="I8:J8" si="19">H36</f>
        <v>7.9</v>
      </c>
      <c r="J8" s="5">
        <f t="shared" si="19"/>
        <v>0.2236067977</v>
      </c>
      <c r="K8" s="5">
        <f>IF('Study Inputs'!B23 ="","",((I8-'Study Inputs'!B23)/'Study Inputs'!B23)*100)</f>
        <v>58</v>
      </c>
      <c r="L8" s="5">
        <f t="shared" ref="L8:M8" si="20">H37</f>
        <v>41.66</v>
      </c>
      <c r="M8" s="5">
        <f t="shared" si="20"/>
        <v>2.602498799</v>
      </c>
      <c r="N8" s="5">
        <f>COUNT(C37:G37)</f>
        <v>5</v>
      </c>
      <c r="O8" s="5">
        <v>6.13</v>
      </c>
      <c r="P8" s="5"/>
      <c r="Q8" s="18"/>
      <c r="R8" s="18"/>
      <c r="S8" s="18"/>
      <c r="T8" s="18"/>
      <c r="U8" s="18"/>
      <c r="V8" s="18"/>
      <c r="W8" s="18"/>
      <c r="X8" s="18"/>
      <c r="Y8" s="18"/>
      <c r="Z8" s="18"/>
    </row>
    <row r="9">
      <c r="A9" s="5" t="s">
        <v>31</v>
      </c>
      <c r="B9" s="5">
        <f t="shared" ref="B9:D9" si="21">H38</f>
        <v>280.2</v>
      </c>
      <c r="C9" s="5">
        <f t="shared" si="21"/>
        <v>21.59166506</v>
      </c>
      <c r="D9" s="5">
        <f t="shared" si="21"/>
        <v>7.705804803</v>
      </c>
      <c r="E9" s="5">
        <f t="shared" ref="E9:G9" si="22">H39</f>
        <v>134.6</v>
      </c>
      <c r="F9" s="5">
        <f t="shared" si="22"/>
        <v>7.436396977</v>
      </c>
      <c r="G9" s="5">
        <f t="shared" si="22"/>
        <v>5.524812019</v>
      </c>
      <c r="H9" s="5" t="s">
        <v>120</v>
      </c>
      <c r="I9" s="5">
        <f t="shared" ref="I9:J9" si="23">H41</f>
        <v>7.1</v>
      </c>
      <c r="J9" s="5">
        <f t="shared" si="23"/>
        <v>0.2236067977</v>
      </c>
      <c r="K9" s="5">
        <f>IF('Study Inputs'!B23 ="","",((I9-'Study Inputs'!B23)/'Study Inputs'!B23)*100)</f>
        <v>42</v>
      </c>
      <c r="L9" s="5">
        <f t="shared" ref="L9:M9" si="24">H42</f>
        <v>20.8</v>
      </c>
      <c r="M9" s="5">
        <f t="shared" si="24"/>
        <v>2.407280623</v>
      </c>
      <c r="N9" s="5">
        <f>COUNT(C42:G42)</f>
        <v>5</v>
      </c>
      <c r="O9" s="5">
        <v>5.65</v>
      </c>
      <c r="P9" s="5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4" t="s">
        <v>19</v>
      </c>
      <c r="B12" s="4" t="s">
        <v>121</v>
      </c>
      <c r="C12" s="4" t="s">
        <v>122</v>
      </c>
      <c r="D12" s="4" t="s">
        <v>123</v>
      </c>
      <c r="E12" s="4" t="s">
        <v>124</v>
      </c>
      <c r="F12" s="4" t="s">
        <v>125</v>
      </c>
      <c r="G12" s="4" t="s">
        <v>126</v>
      </c>
      <c r="H12" s="4" t="s">
        <v>127</v>
      </c>
      <c r="I12" s="4" t="s">
        <v>128</v>
      </c>
      <c r="J12" s="4" t="s">
        <v>129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 t="s">
        <v>20</v>
      </c>
      <c r="B13" s="18" t="s">
        <v>130</v>
      </c>
      <c r="C13" s="18">
        <v>334.0</v>
      </c>
      <c r="D13" s="18">
        <v>243.0</v>
      </c>
      <c r="E13" s="18">
        <v>293.0</v>
      </c>
      <c r="F13" s="18">
        <v>345.0</v>
      </c>
      <c r="G13" s="18">
        <v>326.0</v>
      </c>
      <c r="H13" s="18">
        <f t="shared" ref="H13:H42" si="25">IF(COUNT(C13:G13)=0,"",AVERAGE(C13:G13))</f>
        <v>308.2</v>
      </c>
      <c r="I13" s="18">
        <f t="shared" ref="I13:I42" si="26">IF(COUNT(C13:G13)&lt;2,"",_xlfn.STDEV.S(C13:G13))</f>
        <v>41.28801279</v>
      </c>
      <c r="J13" s="18">
        <f t="shared" ref="J13:J42" si="27">IF(OR(H13="",H13=0),"",I13/H13*100)</f>
        <v>13.39649993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 t="s">
        <v>20</v>
      </c>
      <c r="B14" s="18" t="s">
        <v>131</v>
      </c>
      <c r="C14" s="18">
        <v>216.0</v>
      </c>
      <c r="D14" s="18">
        <v>190.0</v>
      </c>
      <c r="E14" s="18">
        <v>195.0</v>
      </c>
      <c r="F14" s="18">
        <v>212.0</v>
      </c>
      <c r="G14" s="18">
        <v>230.0</v>
      </c>
      <c r="H14" s="18">
        <f t="shared" si="25"/>
        <v>208.6</v>
      </c>
      <c r="I14" s="18">
        <f t="shared" si="26"/>
        <v>16.24192107</v>
      </c>
      <c r="J14" s="18">
        <f t="shared" si="27"/>
        <v>7.786155833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 t="s">
        <v>20</v>
      </c>
      <c r="B15" s="18" t="s">
        <v>112</v>
      </c>
      <c r="C15" s="18">
        <v>200.0</v>
      </c>
      <c r="D15" s="18">
        <v>200.0</v>
      </c>
      <c r="E15" s="18">
        <v>200.0</v>
      </c>
      <c r="F15" s="18">
        <v>200.0</v>
      </c>
      <c r="G15" s="18">
        <v>200.0</v>
      </c>
      <c r="H15" s="18">
        <f t="shared" si="25"/>
        <v>200</v>
      </c>
      <c r="I15" s="18">
        <f t="shared" si="26"/>
        <v>0</v>
      </c>
      <c r="J15" s="18">
        <f t="shared" si="27"/>
        <v>0</v>
      </c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 t="s">
        <v>20</v>
      </c>
      <c r="B16" s="18" t="s">
        <v>132</v>
      </c>
      <c r="C16" s="18">
        <v>8.0</v>
      </c>
      <c r="D16" s="18">
        <v>8.0</v>
      </c>
      <c r="E16" s="18">
        <v>8.0</v>
      </c>
      <c r="F16" s="18">
        <v>9.0</v>
      </c>
      <c r="G16" s="18">
        <v>8.0</v>
      </c>
      <c r="H16" s="18">
        <f t="shared" si="25"/>
        <v>8.2</v>
      </c>
      <c r="I16" s="18">
        <f t="shared" si="26"/>
        <v>0.4472135955</v>
      </c>
      <c r="J16" s="18">
        <f t="shared" si="27"/>
        <v>5.453824335</v>
      </c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 t="s">
        <v>20</v>
      </c>
      <c r="B17" s="34" t="s">
        <v>133</v>
      </c>
      <c r="C17" s="18">
        <v>37.2</v>
      </c>
      <c r="D17" s="18">
        <v>38.0</v>
      </c>
      <c r="E17" s="18">
        <v>39.0</v>
      </c>
      <c r="F17" s="18">
        <v>35.0</v>
      </c>
      <c r="G17" s="18">
        <v>36.5</v>
      </c>
      <c r="H17" s="18">
        <f t="shared" si="25"/>
        <v>37.14</v>
      </c>
      <c r="I17" s="18">
        <f t="shared" si="26"/>
        <v>1.515915565</v>
      </c>
      <c r="J17" s="18">
        <f t="shared" si="27"/>
        <v>4.081625108</v>
      </c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 t="s">
        <v>22</v>
      </c>
      <c r="B18" s="18" t="s">
        <v>130</v>
      </c>
      <c r="C18" s="18">
        <v>329.0</v>
      </c>
      <c r="D18" s="18">
        <v>252.5</v>
      </c>
      <c r="E18" s="18">
        <v>352.0</v>
      </c>
      <c r="F18" s="18">
        <v>296.5</v>
      </c>
      <c r="G18" s="18"/>
      <c r="H18" s="18">
        <f t="shared" si="25"/>
        <v>307.5</v>
      </c>
      <c r="I18" s="18">
        <f t="shared" si="26"/>
        <v>43.16055298</v>
      </c>
      <c r="J18" s="18">
        <f t="shared" si="27"/>
        <v>14.03595219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 t="s">
        <v>22</v>
      </c>
      <c r="B19" s="18" t="s">
        <v>131</v>
      </c>
      <c r="C19" s="34">
        <v>150.0</v>
      </c>
      <c r="D19" s="34">
        <v>108.0</v>
      </c>
      <c r="E19" s="34">
        <v>147.0</v>
      </c>
      <c r="F19" s="34">
        <v>165.0</v>
      </c>
      <c r="G19" s="18"/>
      <c r="H19" s="18">
        <f t="shared" si="25"/>
        <v>142.5</v>
      </c>
      <c r="I19" s="18">
        <f t="shared" si="26"/>
        <v>24.31049156</v>
      </c>
      <c r="J19" s="18">
        <f t="shared" si="27"/>
        <v>17.05999408</v>
      </c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 t="s">
        <v>22</v>
      </c>
      <c r="B20" s="18" t="s">
        <v>112</v>
      </c>
      <c r="C20" s="18">
        <v>200.0</v>
      </c>
      <c r="D20" s="18">
        <v>200.0</v>
      </c>
      <c r="E20" s="18">
        <v>200.0</v>
      </c>
      <c r="F20" s="18">
        <v>200.0</v>
      </c>
      <c r="G20" s="18"/>
      <c r="H20" s="18">
        <f t="shared" si="25"/>
        <v>200</v>
      </c>
      <c r="I20" s="18">
        <f t="shared" si="26"/>
        <v>0</v>
      </c>
      <c r="J20" s="18">
        <f t="shared" si="27"/>
        <v>0</v>
      </c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 t="s">
        <v>22</v>
      </c>
      <c r="B21" s="18" t="s">
        <v>132</v>
      </c>
      <c r="C21" s="18">
        <v>9.0</v>
      </c>
      <c r="D21" s="18">
        <v>9.0</v>
      </c>
      <c r="E21" s="18">
        <v>9.5</v>
      </c>
      <c r="F21" s="18">
        <v>8.5</v>
      </c>
      <c r="G21" s="18"/>
      <c r="H21" s="18">
        <f t="shared" si="25"/>
        <v>9</v>
      </c>
      <c r="I21" s="18">
        <f t="shared" si="26"/>
        <v>0.4082482905</v>
      </c>
      <c r="J21" s="18">
        <f t="shared" si="27"/>
        <v>4.536092116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 t="s">
        <v>22</v>
      </c>
      <c r="B22" s="34" t="s">
        <v>133</v>
      </c>
      <c r="C22" s="18">
        <v>38.0</v>
      </c>
      <c r="D22" s="18">
        <v>37.0</v>
      </c>
      <c r="E22" s="18">
        <v>38.2</v>
      </c>
      <c r="F22" s="18">
        <v>37.8</v>
      </c>
      <c r="G22" s="18">
        <v>37.2</v>
      </c>
      <c r="H22" s="18">
        <f t="shared" si="25"/>
        <v>37.64</v>
      </c>
      <c r="I22" s="18">
        <f t="shared" si="26"/>
        <v>0.5176871642</v>
      </c>
      <c r="J22" s="18">
        <f t="shared" si="27"/>
        <v>1.375364411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 t="s">
        <v>25</v>
      </c>
      <c r="B23" s="18" t="s">
        <v>130</v>
      </c>
      <c r="C23" s="18">
        <v>411.0</v>
      </c>
      <c r="D23" s="18">
        <v>408.0</v>
      </c>
      <c r="E23" s="18">
        <v>359.0</v>
      </c>
      <c r="F23" s="18">
        <v>400.0</v>
      </c>
      <c r="G23" s="18">
        <v>400.0</v>
      </c>
      <c r="H23" s="18">
        <f t="shared" si="25"/>
        <v>395.6</v>
      </c>
      <c r="I23" s="18">
        <f t="shared" si="26"/>
        <v>21.0309296</v>
      </c>
      <c r="J23" s="18">
        <f t="shared" si="27"/>
        <v>5.316210719</v>
      </c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 t="s">
        <v>25</v>
      </c>
      <c r="B24" s="18" t="s">
        <v>131</v>
      </c>
      <c r="C24" s="18">
        <v>203.0</v>
      </c>
      <c r="D24" s="18">
        <v>236.0</v>
      </c>
      <c r="E24" s="18">
        <v>220.0</v>
      </c>
      <c r="F24" s="18">
        <v>200.0</v>
      </c>
      <c r="G24" s="18">
        <v>204.0</v>
      </c>
      <c r="H24" s="18">
        <f t="shared" si="25"/>
        <v>212.6</v>
      </c>
      <c r="I24" s="18">
        <f t="shared" si="26"/>
        <v>15.22497947</v>
      </c>
      <c r="J24" s="18">
        <f t="shared" si="27"/>
        <v>7.161326187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 t="s">
        <v>25</v>
      </c>
      <c r="B25" s="18" t="s">
        <v>112</v>
      </c>
      <c r="C25" s="18">
        <v>200.0</v>
      </c>
      <c r="D25" s="18">
        <v>200.0</v>
      </c>
      <c r="E25" s="18">
        <v>200.0</v>
      </c>
      <c r="F25" s="18">
        <v>200.0</v>
      </c>
      <c r="G25" s="18">
        <v>200.0</v>
      </c>
      <c r="H25" s="18">
        <f t="shared" si="25"/>
        <v>200</v>
      </c>
      <c r="I25" s="18">
        <f t="shared" si="26"/>
        <v>0</v>
      </c>
      <c r="J25" s="18">
        <f t="shared" si="27"/>
        <v>0</v>
      </c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 t="s">
        <v>25</v>
      </c>
      <c r="B26" s="18" t="s">
        <v>132</v>
      </c>
      <c r="C26" s="18">
        <v>9.0</v>
      </c>
      <c r="D26" s="18">
        <v>9.0</v>
      </c>
      <c r="E26" s="18">
        <v>8.0</v>
      </c>
      <c r="F26" s="18">
        <v>9.0</v>
      </c>
      <c r="G26" s="18">
        <v>7.0</v>
      </c>
      <c r="H26" s="18">
        <f t="shared" si="25"/>
        <v>8.4</v>
      </c>
      <c r="I26" s="18">
        <f t="shared" si="26"/>
        <v>0.894427191</v>
      </c>
      <c r="J26" s="18">
        <f t="shared" si="27"/>
        <v>10.64794275</v>
      </c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 t="s">
        <v>25</v>
      </c>
      <c r="B27" s="34" t="s">
        <v>133</v>
      </c>
      <c r="C27" s="18">
        <v>25.0</v>
      </c>
      <c r="D27" s="18">
        <v>25.0</v>
      </c>
      <c r="E27" s="18">
        <v>26.0</v>
      </c>
      <c r="F27" s="18">
        <v>28.0</v>
      </c>
      <c r="G27" s="18">
        <v>24.0</v>
      </c>
      <c r="H27" s="18">
        <f t="shared" si="25"/>
        <v>25.6</v>
      </c>
      <c r="I27" s="18">
        <f t="shared" si="26"/>
        <v>1.516575089</v>
      </c>
      <c r="J27" s="18">
        <f t="shared" si="27"/>
        <v>5.924121441</v>
      </c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 t="s">
        <v>26</v>
      </c>
      <c r="B28" s="18" t="s">
        <v>130</v>
      </c>
      <c r="C28" s="18">
        <v>220.5</v>
      </c>
      <c r="D28" s="18">
        <v>225.0</v>
      </c>
      <c r="E28" s="18">
        <v>260.0</v>
      </c>
      <c r="F28" s="18">
        <v>230.0</v>
      </c>
      <c r="G28" s="18">
        <v>253.0</v>
      </c>
      <c r="H28" s="18">
        <f t="shared" si="25"/>
        <v>237.7</v>
      </c>
      <c r="I28" s="18">
        <f t="shared" si="26"/>
        <v>17.66210633</v>
      </c>
      <c r="J28" s="18">
        <f t="shared" si="27"/>
        <v>7.430419154</v>
      </c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 t="s">
        <v>26</v>
      </c>
      <c r="B29" s="18" t="s">
        <v>131</v>
      </c>
      <c r="C29" s="18">
        <v>123.0</v>
      </c>
      <c r="D29" s="18">
        <v>140.0</v>
      </c>
      <c r="E29" s="18">
        <v>120.0</v>
      </c>
      <c r="F29" s="18">
        <v>110.0</v>
      </c>
      <c r="G29" s="18">
        <v>90.0</v>
      </c>
      <c r="H29" s="18">
        <f t="shared" si="25"/>
        <v>116.6</v>
      </c>
      <c r="I29" s="18">
        <f t="shared" si="26"/>
        <v>18.37933622</v>
      </c>
      <c r="J29" s="18">
        <f t="shared" si="27"/>
        <v>15.76272403</v>
      </c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 t="s">
        <v>26</v>
      </c>
      <c r="B30" s="18" t="s">
        <v>112</v>
      </c>
      <c r="C30" s="18">
        <v>200.0</v>
      </c>
      <c r="D30" s="18">
        <v>200.0</v>
      </c>
      <c r="E30" s="18">
        <v>200.0</v>
      </c>
      <c r="F30" s="18">
        <v>200.0</v>
      </c>
      <c r="G30" s="18"/>
      <c r="H30" s="18">
        <f t="shared" si="25"/>
        <v>200</v>
      </c>
      <c r="I30" s="18">
        <f t="shared" si="26"/>
        <v>0</v>
      </c>
      <c r="J30" s="18">
        <f t="shared" si="27"/>
        <v>0</v>
      </c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 t="s">
        <v>26</v>
      </c>
      <c r="B31" s="18" t="s">
        <v>132</v>
      </c>
      <c r="C31" s="18">
        <v>9.5</v>
      </c>
      <c r="D31" s="18">
        <v>9.5</v>
      </c>
      <c r="E31" s="18">
        <v>9.5</v>
      </c>
      <c r="F31" s="18">
        <v>9.5</v>
      </c>
      <c r="G31" s="18">
        <v>9.5</v>
      </c>
      <c r="H31" s="18">
        <f t="shared" si="25"/>
        <v>9.5</v>
      </c>
      <c r="I31" s="18">
        <f t="shared" si="26"/>
        <v>0</v>
      </c>
      <c r="J31" s="18">
        <f t="shared" si="27"/>
        <v>0</v>
      </c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 t="s">
        <v>26</v>
      </c>
      <c r="B32" s="34" t="s">
        <v>133</v>
      </c>
      <c r="C32" s="18">
        <v>18.5</v>
      </c>
      <c r="D32" s="18">
        <v>18.4</v>
      </c>
      <c r="E32" s="18">
        <v>33.7</v>
      </c>
      <c r="F32" s="18">
        <v>33.7</v>
      </c>
      <c r="G32" s="18">
        <v>45.0</v>
      </c>
      <c r="H32" s="18">
        <f t="shared" si="25"/>
        <v>29.86</v>
      </c>
      <c r="I32" s="18">
        <f t="shared" si="26"/>
        <v>11.39179529</v>
      </c>
      <c r="J32" s="18">
        <f t="shared" si="27"/>
        <v>38.15068752</v>
      </c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 t="s">
        <v>28</v>
      </c>
      <c r="B33" s="18" t="s">
        <v>130</v>
      </c>
      <c r="C33" s="18">
        <v>253.0</v>
      </c>
      <c r="D33" s="18">
        <v>218.0</v>
      </c>
      <c r="E33" s="18">
        <v>244.0</v>
      </c>
      <c r="F33" s="18">
        <v>230.0</v>
      </c>
      <c r="G33" s="18">
        <v>227.0</v>
      </c>
      <c r="H33" s="18">
        <f t="shared" si="25"/>
        <v>234.4</v>
      </c>
      <c r="I33" s="18">
        <f t="shared" si="26"/>
        <v>13.97497764</v>
      </c>
      <c r="J33" s="18">
        <f t="shared" si="27"/>
        <v>5.962021177</v>
      </c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 t="s">
        <v>28</v>
      </c>
      <c r="B34" s="18" t="s">
        <v>131</v>
      </c>
      <c r="C34" s="34">
        <v>155.0</v>
      </c>
      <c r="D34" s="34">
        <v>145.0</v>
      </c>
      <c r="E34" s="34">
        <v>160.0</v>
      </c>
      <c r="F34" s="34">
        <v>165.0</v>
      </c>
      <c r="G34" s="34">
        <v>155.0</v>
      </c>
      <c r="H34" s="18">
        <f t="shared" si="25"/>
        <v>156</v>
      </c>
      <c r="I34" s="18">
        <f t="shared" si="26"/>
        <v>7.416198487</v>
      </c>
      <c r="J34" s="18">
        <f t="shared" si="27"/>
        <v>4.753973389</v>
      </c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 t="s">
        <v>28</v>
      </c>
      <c r="B35" s="18" t="s">
        <v>112</v>
      </c>
      <c r="C35" s="18">
        <v>200.0</v>
      </c>
      <c r="D35" s="18">
        <v>200.0</v>
      </c>
      <c r="E35" s="18">
        <v>200.0</v>
      </c>
      <c r="F35" s="18">
        <v>200.0</v>
      </c>
      <c r="G35" s="18">
        <v>200.0</v>
      </c>
      <c r="H35" s="18">
        <f t="shared" si="25"/>
        <v>200</v>
      </c>
      <c r="I35" s="18">
        <f t="shared" si="26"/>
        <v>0</v>
      </c>
      <c r="J35" s="18">
        <f t="shared" si="27"/>
        <v>0</v>
      </c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 t="s">
        <v>28</v>
      </c>
      <c r="B36" s="18" t="s">
        <v>132</v>
      </c>
      <c r="C36" s="18">
        <v>8.0</v>
      </c>
      <c r="D36" s="18">
        <v>8.0</v>
      </c>
      <c r="E36" s="18">
        <v>8.0</v>
      </c>
      <c r="F36" s="18">
        <v>7.5</v>
      </c>
      <c r="G36" s="18">
        <v>8.0</v>
      </c>
      <c r="H36" s="18">
        <f t="shared" si="25"/>
        <v>7.9</v>
      </c>
      <c r="I36" s="18">
        <f t="shared" si="26"/>
        <v>0.2236067977</v>
      </c>
      <c r="J36" s="18">
        <f t="shared" si="27"/>
        <v>2.830465794</v>
      </c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 t="s">
        <v>28</v>
      </c>
      <c r="B37" s="34" t="s">
        <v>133</v>
      </c>
      <c r="C37" s="18">
        <v>38.2</v>
      </c>
      <c r="D37" s="18">
        <v>44.7</v>
      </c>
      <c r="E37" s="18">
        <v>42.3</v>
      </c>
      <c r="F37" s="18">
        <v>39.9</v>
      </c>
      <c r="G37" s="18">
        <v>43.2</v>
      </c>
      <c r="H37" s="18">
        <f t="shared" si="25"/>
        <v>41.66</v>
      </c>
      <c r="I37" s="18">
        <f t="shared" si="26"/>
        <v>2.602498799</v>
      </c>
      <c r="J37" s="18">
        <f t="shared" si="27"/>
        <v>6.246996638</v>
      </c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 t="s">
        <v>31</v>
      </c>
      <c r="B38" s="18" t="s">
        <v>130</v>
      </c>
      <c r="C38" s="18">
        <v>276.0</v>
      </c>
      <c r="D38" s="18">
        <v>316.0</v>
      </c>
      <c r="E38" s="18">
        <v>265.0</v>
      </c>
      <c r="F38" s="18">
        <v>282.0</v>
      </c>
      <c r="G38" s="18">
        <v>262.0</v>
      </c>
      <c r="H38" s="18">
        <f t="shared" si="25"/>
        <v>280.2</v>
      </c>
      <c r="I38" s="18">
        <f t="shared" si="26"/>
        <v>21.59166506</v>
      </c>
      <c r="J38" s="18">
        <f t="shared" si="27"/>
        <v>7.705804803</v>
      </c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 t="s">
        <v>31</v>
      </c>
      <c r="B39" s="18" t="s">
        <v>131</v>
      </c>
      <c r="C39" s="18">
        <v>135.0</v>
      </c>
      <c r="D39" s="18">
        <v>146.0</v>
      </c>
      <c r="E39" s="18">
        <v>129.0</v>
      </c>
      <c r="F39" s="18">
        <v>136.0</v>
      </c>
      <c r="G39" s="18">
        <v>127.0</v>
      </c>
      <c r="H39" s="18">
        <f t="shared" si="25"/>
        <v>134.6</v>
      </c>
      <c r="I39" s="18">
        <f t="shared" si="26"/>
        <v>7.436396977</v>
      </c>
      <c r="J39" s="18">
        <f t="shared" si="27"/>
        <v>5.524812019</v>
      </c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 t="s">
        <v>31</v>
      </c>
      <c r="B40" s="18" t="s">
        <v>112</v>
      </c>
      <c r="C40" s="18">
        <v>200.0</v>
      </c>
      <c r="D40" s="18">
        <v>200.0</v>
      </c>
      <c r="E40" s="18">
        <v>200.0</v>
      </c>
      <c r="F40" s="18">
        <v>200.0</v>
      </c>
      <c r="G40" s="18"/>
      <c r="H40" s="18">
        <f t="shared" si="25"/>
        <v>200</v>
      </c>
      <c r="I40" s="18">
        <f t="shared" si="26"/>
        <v>0</v>
      </c>
      <c r="J40" s="18">
        <f t="shared" si="27"/>
        <v>0</v>
      </c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 t="s">
        <v>31</v>
      </c>
      <c r="B41" s="18" t="s">
        <v>132</v>
      </c>
      <c r="C41" s="18">
        <v>7.5</v>
      </c>
      <c r="D41" s="18">
        <v>7.0</v>
      </c>
      <c r="E41" s="18">
        <v>7.0</v>
      </c>
      <c r="F41" s="18">
        <v>7.0</v>
      </c>
      <c r="G41" s="18">
        <v>7.0</v>
      </c>
      <c r="H41" s="18">
        <f t="shared" si="25"/>
        <v>7.1</v>
      </c>
      <c r="I41" s="18">
        <f t="shared" si="26"/>
        <v>0.2236067977</v>
      </c>
      <c r="J41" s="18">
        <f t="shared" si="27"/>
        <v>3.149391518</v>
      </c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 t="s">
        <v>31</v>
      </c>
      <c r="B42" s="34" t="s">
        <v>133</v>
      </c>
      <c r="C42" s="18">
        <v>18.3</v>
      </c>
      <c r="D42" s="18">
        <v>18.2</v>
      </c>
      <c r="E42" s="18">
        <v>23.0</v>
      </c>
      <c r="F42" s="18">
        <v>23.0</v>
      </c>
      <c r="G42" s="18">
        <v>21.5</v>
      </c>
      <c r="H42" s="18">
        <f t="shared" si="25"/>
        <v>20.8</v>
      </c>
      <c r="I42" s="18">
        <f t="shared" si="26"/>
        <v>2.407280623</v>
      </c>
      <c r="J42" s="18">
        <f t="shared" si="27"/>
        <v>11.57346454</v>
      </c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ht="15.75" customHeight="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ht="15.75" customHeight="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ht="15.75" customHeight="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ht="15.75" customHeight="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ht="15.75" customHeight="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ht="15.75" customHeight="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ht="15.75" customHeight="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ht="15.75" customHeight="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ht="15.75" customHeight="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ht="15.75" customHeight="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ht="15.75" customHeight="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ht="15.75" customHeight="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ht="15.75" customHeight="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ht="15.75" customHeight="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ht="15.75" customHeight="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ht="15.75" customHeight="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ht="15.75" customHeight="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ht="15.75" customHeight="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ht="15.75" customHeight="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ht="15.75" customHeight="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ht="15.75" customHeight="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P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6" width="16.0"/>
    <col customWidth="1" min="7" max="26" width="14.38"/>
  </cols>
  <sheetData>
    <row r="1">
      <c r="A1" s="17" t="s">
        <v>138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>
      <c r="A3" s="4" t="s">
        <v>19</v>
      </c>
      <c r="B3" s="4" t="s">
        <v>119</v>
      </c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>
      <c r="A4" s="18" t="s">
        <v>20</v>
      </c>
      <c r="B4" s="18">
        <v>5.5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</row>
    <row r="5">
      <c r="A5" s="18" t="s">
        <v>22</v>
      </c>
      <c r="B5" s="18">
        <v>5.7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</row>
    <row r="6">
      <c r="A6" s="18" t="s">
        <v>25</v>
      </c>
      <c r="B6" s="18">
        <v>5.73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</row>
    <row r="7">
      <c r="A7" s="18" t="s">
        <v>26</v>
      </c>
      <c r="B7" s="18">
        <v>5.65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</row>
    <row r="8">
      <c r="A8" s="18" t="s">
        <v>28</v>
      </c>
      <c r="B8" s="18">
        <v>6.13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</row>
    <row r="9">
      <c r="A9" s="18" t="s">
        <v>31</v>
      </c>
      <c r="B9" s="18">
        <v>5.65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</row>
    <row r="10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</row>
    <row r="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</row>
    <row r="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7.38"/>
    <col customWidth="1" min="3" max="3" width="10.38"/>
    <col customWidth="1" min="4" max="4" width="9.63"/>
    <col customWidth="1" min="5" max="5" width="15.13"/>
    <col customWidth="1" min="6" max="6" width="21.25"/>
    <col customWidth="1" min="7" max="7" width="8.75"/>
    <col customWidth="1" min="8" max="8" width="6.88"/>
    <col customWidth="1" min="9" max="9" width="12.63"/>
    <col customWidth="1" min="10" max="10" width="10.25"/>
    <col customWidth="1" min="11" max="11" width="10.38"/>
    <col customWidth="1" min="12" max="12" width="10.25"/>
    <col customWidth="1" min="13" max="13" width="48.0"/>
    <col customWidth="1" min="14" max="26" width="14.38"/>
  </cols>
  <sheetData>
    <row r="1">
      <c r="A1" s="17" t="s">
        <v>139</v>
      </c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4" t="s">
        <v>19</v>
      </c>
      <c r="B3" s="4" t="s">
        <v>140</v>
      </c>
      <c r="C3" s="4" t="s">
        <v>141</v>
      </c>
      <c r="D3" s="4" t="s">
        <v>142</v>
      </c>
      <c r="E3" s="4" t="s">
        <v>143</v>
      </c>
      <c r="F3" s="4" t="s">
        <v>144</v>
      </c>
      <c r="G3" s="18"/>
      <c r="H3" s="36" t="s">
        <v>19</v>
      </c>
      <c r="I3" s="36" t="s">
        <v>145</v>
      </c>
      <c r="J3" s="36" t="s">
        <v>146</v>
      </c>
      <c r="K3" s="36" t="s">
        <v>147</v>
      </c>
      <c r="L3" s="36" t="s">
        <v>148</v>
      </c>
      <c r="M3" s="36" t="s">
        <v>149</v>
      </c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>
      <c r="A4" s="18" t="s">
        <v>20</v>
      </c>
      <c r="B4" s="18">
        <v>1.0</v>
      </c>
      <c r="C4" s="18">
        <v>0.082</v>
      </c>
      <c r="D4" s="18">
        <v>0.118</v>
      </c>
      <c r="E4" s="18">
        <f t="shared" ref="E4:E21" si="1">(D4-C4)/C4*100</f>
        <v>43.90243902</v>
      </c>
      <c r="F4" s="18" t="s">
        <v>150</v>
      </c>
      <c r="G4" s="18"/>
      <c r="H4" s="18" t="s">
        <v>20</v>
      </c>
      <c r="I4" s="18">
        <f>AVERAGE(E4:E6)</f>
        <v>19.64372042</v>
      </c>
      <c r="J4" s="18">
        <f>IF(COUNT(E4:E6)&lt;2,"",_xlfn.STDEV.S(E4:E6))</f>
        <v>21.78397083</v>
      </c>
      <c r="K4" s="18">
        <f>AVERAGE(E25:E27)</f>
        <v>11.45908005</v>
      </c>
      <c r="L4" s="18">
        <f>IF(COUNT(E25:E27)&lt;2,"",_xlfn.STDEV.S(E25:E27))</f>
        <v>2.89877091</v>
      </c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>
      <c r="A5" s="18" t="s">
        <v>20</v>
      </c>
      <c r="B5" s="18">
        <v>2.0</v>
      </c>
      <c r="C5" s="18">
        <v>0.057</v>
      </c>
      <c r="D5" s="18">
        <v>0.058</v>
      </c>
      <c r="E5" s="18">
        <f t="shared" si="1"/>
        <v>1.754385965</v>
      </c>
      <c r="F5" s="18" t="s">
        <v>150</v>
      </c>
      <c r="G5" s="18"/>
      <c r="H5" s="18" t="s">
        <v>22</v>
      </c>
      <c r="I5" s="18">
        <f>AVERAGE(E7:E9)</f>
        <v>7.239740301</v>
      </c>
      <c r="J5" s="18">
        <f>IF(COUNT(E7:E9)&lt;2,"",_xlfn.STDEV.S(E7:E9))</f>
        <v>1.991936484</v>
      </c>
      <c r="K5" s="18">
        <f>AVERAGE(E28:E30)</f>
        <v>35.8921296</v>
      </c>
      <c r="L5" s="18">
        <f>IF(COUNT(E28:E30)&lt;2,"",_xlfn.STDEV.S(E28:E30))</f>
        <v>12.42392172</v>
      </c>
      <c r="M5" s="18" t="s">
        <v>151</v>
      </c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>
      <c r="A6" s="18" t="s">
        <v>20</v>
      </c>
      <c r="B6" s="18">
        <v>3.0</v>
      </c>
      <c r="C6" s="18">
        <v>0.113</v>
      </c>
      <c r="D6" s="18">
        <v>0.128</v>
      </c>
      <c r="E6" s="18">
        <f t="shared" si="1"/>
        <v>13.27433628</v>
      </c>
      <c r="F6" s="18" t="s">
        <v>150</v>
      </c>
      <c r="G6" s="18"/>
      <c r="H6" s="18" t="s">
        <v>25</v>
      </c>
      <c r="I6" s="18">
        <f>AVERAGE(E10:E12)</f>
        <v>16.07591455</v>
      </c>
      <c r="J6" s="18">
        <f>IF(COUNT(E10:E12)&lt;2,"",_xlfn.STDEV.S(E10:E12))</f>
        <v>7.380233284</v>
      </c>
      <c r="K6" s="18">
        <f>AVERAGE(E31:E33)</f>
        <v>12.91995466</v>
      </c>
      <c r="L6" s="18">
        <f>IF(COUNT(E31:E33)&lt;2,"",_xlfn.STDEV.S(E31:E33))</f>
        <v>4.908808559</v>
      </c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>
      <c r="A7" s="18" t="s">
        <v>22</v>
      </c>
      <c r="B7" s="18">
        <v>1.0</v>
      </c>
      <c r="C7" s="18">
        <v>0.151</v>
      </c>
      <c r="D7" s="18">
        <v>0.159</v>
      </c>
      <c r="E7" s="18">
        <f t="shared" si="1"/>
        <v>5.298013245</v>
      </c>
      <c r="F7" s="18" t="s">
        <v>150</v>
      </c>
      <c r="G7" s="18"/>
      <c r="H7" s="18" t="s">
        <v>26</v>
      </c>
      <c r="I7" s="18">
        <f>AVERAGE(E13:E15)</f>
        <v>13.57527243</v>
      </c>
      <c r="J7" s="18">
        <f>IF(COUNT(E13:E15)&lt;2,"",_xlfn.STDEV.S(E13:E15))</f>
        <v>2.60789035</v>
      </c>
      <c r="K7" s="18">
        <f>AVERAGE(E34:E36)</f>
        <v>12.21006375</v>
      </c>
      <c r="L7" s="18">
        <f>IF(COUNT(E34:E36)&lt;2,"",_xlfn.STDEV.S(E34:E36))</f>
        <v>1.084122129</v>
      </c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>
      <c r="A8" s="18" t="s">
        <v>22</v>
      </c>
      <c r="B8" s="18">
        <v>2.0</v>
      </c>
      <c r="C8" s="18">
        <v>0.056</v>
      </c>
      <c r="D8" s="18">
        <v>0.06</v>
      </c>
      <c r="E8" s="18">
        <f t="shared" si="1"/>
        <v>7.142857143</v>
      </c>
      <c r="F8" s="18" t="s">
        <v>150</v>
      </c>
      <c r="G8" s="18"/>
      <c r="H8" s="18" t="s">
        <v>28</v>
      </c>
      <c r="I8" s="18">
        <f>AVERAGE(E16:E18)</f>
        <v>14.1462704</v>
      </c>
      <c r="J8" s="18">
        <f>IF(COUNT(E16:E18)&lt;2,"",_xlfn.STDEV.S(E16:E18))</f>
        <v>4.302425294</v>
      </c>
      <c r="K8" s="18">
        <f>AVERAGE(E37:E39)</f>
        <v>14.38983856</v>
      </c>
      <c r="L8" s="18">
        <f>IF(COUNT(E37:E39)&lt;2,"",_xlfn.STDEV.S(E37:E39))</f>
        <v>3.54741137</v>
      </c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>
      <c r="A9" s="18" t="s">
        <v>22</v>
      </c>
      <c r="B9" s="18">
        <v>3.0</v>
      </c>
      <c r="C9" s="18">
        <v>0.097</v>
      </c>
      <c r="D9" s="18">
        <v>0.106</v>
      </c>
      <c r="E9" s="18">
        <f t="shared" si="1"/>
        <v>9.278350515</v>
      </c>
      <c r="F9" s="18" t="s">
        <v>150</v>
      </c>
      <c r="G9" s="18"/>
      <c r="H9" s="18" t="s">
        <v>31</v>
      </c>
      <c r="I9" s="18">
        <f>AVERAGE(E19:E21)</f>
        <v>48.30093421</v>
      </c>
      <c r="J9" s="18">
        <f>IF(COUNT(E19:E21)&lt;2,"",_xlfn.STDEV.S(E19:E21))</f>
        <v>2.350302178</v>
      </c>
      <c r="K9" s="18">
        <f>AVERAGE(E40)</f>
        <v>16.84782609</v>
      </c>
      <c r="L9" s="18">
        <f>IF(COUNT(E40:E42)&lt;2,"",_xlfn.STDEV.S(E40:E42))</f>
        <v>0.519634405</v>
      </c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18" t="s">
        <v>25</v>
      </c>
      <c r="B10" s="18">
        <v>1.0</v>
      </c>
      <c r="C10" s="18">
        <v>0.099</v>
      </c>
      <c r="D10" s="18">
        <v>0.122</v>
      </c>
      <c r="E10" s="18">
        <f t="shared" si="1"/>
        <v>23.23232323</v>
      </c>
      <c r="F10" s="18" t="s">
        <v>150</v>
      </c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 t="s">
        <v>25</v>
      </c>
      <c r="B11" s="18">
        <v>2.0</v>
      </c>
      <c r="C11" s="18">
        <v>0.106</v>
      </c>
      <c r="D11" s="18">
        <v>0.115</v>
      </c>
      <c r="E11" s="18">
        <f t="shared" si="1"/>
        <v>8.490566038</v>
      </c>
      <c r="F11" s="18" t="s">
        <v>150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18" t="s">
        <v>25</v>
      </c>
      <c r="B12" s="18">
        <v>3.0</v>
      </c>
      <c r="C12" s="18">
        <v>0.103</v>
      </c>
      <c r="D12" s="18">
        <v>0.12</v>
      </c>
      <c r="E12" s="18">
        <f t="shared" si="1"/>
        <v>16.50485437</v>
      </c>
      <c r="F12" s="18" t="s">
        <v>150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 t="s">
        <v>26</v>
      </c>
      <c r="B13" s="18">
        <v>1.0</v>
      </c>
      <c r="C13" s="18">
        <v>0.121</v>
      </c>
      <c r="D13" s="18">
        <v>0.136</v>
      </c>
      <c r="E13" s="18">
        <f t="shared" si="1"/>
        <v>12.39669421</v>
      </c>
      <c r="F13" s="18" t="s">
        <v>150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 t="s">
        <v>26</v>
      </c>
      <c r="B14" s="18">
        <v>2.0</v>
      </c>
      <c r="C14" s="18">
        <v>0.119</v>
      </c>
      <c r="D14" s="18">
        <v>0.133</v>
      </c>
      <c r="E14" s="18">
        <f t="shared" si="1"/>
        <v>11.76470588</v>
      </c>
      <c r="F14" s="18" t="s">
        <v>150</v>
      </c>
      <c r="G14" s="18"/>
      <c r="H14" s="18"/>
      <c r="I14" s="18"/>
      <c r="J14" s="36" t="s">
        <v>19</v>
      </c>
      <c r="K14" s="36" t="s">
        <v>145</v>
      </c>
      <c r="L14" s="36" t="s">
        <v>147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 t="s">
        <v>26</v>
      </c>
      <c r="B15" s="18">
        <v>3.0</v>
      </c>
      <c r="C15" s="18">
        <v>0.163</v>
      </c>
      <c r="D15" s="18">
        <v>0.19</v>
      </c>
      <c r="E15" s="18">
        <f t="shared" si="1"/>
        <v>16.56441718</v>
      </c>
      <c r="F15" s="18" t="s">
        <v>150</v>
      </c>
      <c r="G15" s="18"/>
      <c r="H15" s="18"/>
      <c r="I15" s="18"/>
      <c r="J15" s="15" t="s">
        <v>20</v>
      </c>
      <c r="K15" s="37">
        <v>19.643720424162783</v>
      </c>
      <c r="L15" s="37">
        <v>11.459080047789726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 t="s">
        <v>28</v>
      </c>
      <c r="B16" s="18">
        <v>1.0</v>
      </c>
      <c r="C16" s="18">
        <v>0.104</v>
      </c>
      <c r="D16" s="18">
        <v>0.118</v>
      </c>
      <c r="E16" s="18">
        <f t="shared" si="1"/>
        <v>13.46153846</v>
      </c>
      <c r="F16" s="18" t="s">
        <v>150</v>
      </c>
      <c r="G16" s="18"/>
      <c r="H16" s="18"/>
      <c r="I16" s="18"/>
      <c r="J16" s="15" t="s">
        <v>22</v>
      </c>
      <c r="K16" s="37">
        <v>7.239740301118054</v>
      </c>
      <c r="L16" s="37">
        <v>35.89212960439042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 t="s">
        <v>28</v>
      </c>
      <c r="B17" s="18">
        <v>2.0</v>
      </c>
      <c r="C17" s="18">
        <v>0.096</v>
      </c>
      <c r="D17" s="18">
        <v>0.114</v>
      </c>
      <c r="E17" s="18">
        <f t="shared" si="1"/>
        <v>18.75</v>
      </c>
      <c r="F17" s="18" t="s">
        <v>150</v>
      </c>
      <c r="G17" s="18"/>
      <c r="H17" s="18"/>
      <c r="I17" s="18"/>
      <c r="J17" s="15" t="s">
        <v>25</v>
      </c>
      <c r="K17" s="37">
        <v>16.075914546330374</v>
      </c>
      <c r="L17" s="37">
        <v>12.919954663073929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 t="s">
        <v>28</v>
      </c>
      <c r="B18" s="18">
        <v>3.0</v>
      </c>
      <c r="C18" s="18">
        <v>0.088</v>
      </c>
      <c r="D18" s="18">
        <v>0.097</v>
      </c>
      <c r="E18" s="18">
        <f t="shared" si="1"/>
        <v>10.22727273</v>
      </c>
      <c r="F18" s="18" t="s">
        <v>150</v>
      </c>
      <c r="G18" s="18"/>
      <c r="H18" s="18"/>
      <c r="I18" s="18"/>
      <c r="J18" s="15" t="s">
        <v>26</v>
      </c>
      <c r="K18" s="37">
        <v>13.5752724250477</v>
      </c>
      <c r="L18" s="37">
        <v>12.210063746100639</v>
      </c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 t="s">
        <v>31</v>
      </c>
      <c r="B19" s="18">
        <v>1.0</v>
      </c>
      <c r="C19" s="18">
        <v>0.35</v>
      </c>
      <c r="D19" s="18">
        <v>0.511</v>
      </c>
      <c r="E19" s="18">
        <f t="shared" si="1"/>
        <v>46</v>
      </c>
      <c r="F19" s="18" t="s">
        <v>150</v>
      </c>
      <c r="G19" s="18"/>
      <c r="H19" s="18"/>
      <c r="I19" s="18"/>
      <c r="J19" s="15" t="s">
        <v>28</v>
      </c>
      <c r="K19" s="37">
        <v>14.1462703962704</v>
      </c>
      <c r="L19" s="37">
        <v>14.389838556505223</v>
      </c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 t="s">
        <v>31</v>
      </c>
      <c r="B20" s="18">
        <v>2.0</v>
      </c>
      <c r="C20" s="18">
        <v>0.39</v>
      </c>
      <c r="D20" s="18">
        <v>0.578</v>
      </c>
      <c r="E20" s="18">
        <f t="shared" si="1"/>
        <v>48.20512821</v>
      </c>
      <c r="F20" s="18" t="s">
        <v>150</v>
      </c>
      <c r="G20" s="18"/>
      <c r="H20" s="18"/>
      <c r="I20" s="18"/>
      <c r="J20" s="15" t="s">
        <v>31</v>
      </c>
      <c r="K20" s="37">
        <v>48.300934207910956</v>
      </c>
      <c r="L20" s="37">
        <v>16.847826086956523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 t="s">
        <v>31</v>
      </c>
      <c r="B21" s="18">
        <v>3.0</v>
      </c>
      <c r="C21" s="18">
        <v>0.43</v>
      </c>
      <c r="D21" s="18">
        <v>0.648</v>
      </c>
      <c r="E21" s="18">
        <f t="shared" si="1"/>
        <v>50.69767442</v>
      </c>
      <c r="F21" s="18" t="s">
        <v>150</v>
      </c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4" t="s">
        <v>19</v>
      </c>
      <c r="B24" s="4" t="s">
        <v>140</v>
      </c>
      <c r="C24" s="4" t="s">
        <v>141</v>
      </c>
      <c r="D24" s="4" t="s">
        <v>142</v>
      </c>
      <c r="E24" s="4" t="s">
        <v>152</v>
      </c>
      <c r="F24" s="4" t="s">
        <v>144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 t="s">
        <v>20</v>
      </c>
      <c r="B25" s="18">
        <v>1.0</v>
      </c>
      <c r="C25" s="18">
        <v>0.144</v>
      </c>
      <c r="D25" s="18">
        <v>0.128</v>
      </c>
      <c r="E25" s="18">
        <f t="shared" ref="E25:E42" si="2">(C25-D25)/C25*100</f>
        <v>11.11111111</v>
      </c>
      <c r="F25" s="18" t="s">
        <v>150</v>
      </c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 t="s">
        <v>20</v>
      </c>
      <c r="B26" s="18">
        <v>2.0</v>
      </c>
      <c r="C26" s="18">
        <v>0.124</v>
      </c>
      <c r="D26" s="18">
        <v>0.106</v>
      </c>
      <c r="E26" s="18">
        <f t="shared" si="2"/>
        <v>14.51612903</v>
      </c>
      <c r="F26" s="18" t="s">
        <v>150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 t="s">
        <v>20</v>
      </c>
      <c r="B27" s="18">
        <v>3.0</v>
      </c>
      <c r="C27" s="18">
        <v>0.08</v>
      </c>
      <c r="D27" s="18">
        <v>0.073</v>
      </c>
      <c r="E27" s="18">
        <f t="shared" si="2"/>
        <v>8.75</v>
      </c>
      <c r="F27" s="18" t="s">
        <v>150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 t="s">
        <v>22</v>
      </c>
      <c r="B28" s="18">
        <v>1.0</v>
      </c>
      <c r="C28" s="18">
        <v>0.17</v>
      </c>
      <c r="D28" s="18">
        <v>0.132</v>
      </c>
      <c r="E28" s="18">
        <f t="shared" si="2"/>
        <v>22.35294118</v>
      </c>
      <c r="F28" s="18" t="s">
        <v>150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 t="s">
        <v>22</v>
      </c>
      <c r="B29" s="18">
        <v>2.0</v>
      </c>
      <c r="C29" s="18">
        <v>0.083</v>
      </c>
      <c r="D29" s="18">
        <v>0.051</v>
      </c>
      <c r="E29" s="18">
        <f t="shared" si="2"/>
        <v>38.55421687</v>
      </c>
      <c r="F29" s="18" t="s">
        <v>150</v>
      </c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 t="s">
        <v>22</v>
      </c>
      <c r="B30" s="18">
        <v>3.0</v>
      </c>
      <c r="C30" s="18">
        <v>0.325</v>
      </c>
      <c r="D30" s="18">
        <v>0.173</v>
      </c>
      <c r="E30" s="18">
        <f t="shared" si="2"/>
        <v>46.76923077</v>
      </c>
      <c r="F30" s="18" t="s">
        <v>150</v>
      </c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 t="s">
        <v>25</v>
      </c>
      <c r="B31" s="18">
        <v>1.0</v>
      </c>
      <c r="C31" s="18">
        <v>0.091</v>
      </c>
      <c r="D31" s="18">
        <v>0.084</v>
      </c>
      <c r="E31" s="18">
        <f t="shared" si="2"/>
        <v>7.692307692</v>
      </c>
      <c r="F31" s="18" t="s">
        <v>150</v>
      </c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 t="s">
        <v>25</v>
      </c>
      <c r="B32" s="18">
        <v>2.0</v>
      </c>
      <c r="C32" s="18">
        <v>0.066</v>
      </c>
      <c r="D32" s="18">
        <v>0.057</v>
      </c>
      <c r="E32" s="18">
        <f t="shared" si="2"/>
        <v>13.63636364</v>
      </c>
      <c r="F32" s="18" t="s">
        <v>150</v>
      </c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 t="s">
        <v>25</v>
      </c>
      <c r="B33" s="18">
        <v>3.0</v>
      </c>
      <c r="C33" s="18">
        <v>0.109</v>
      </c>
      <c r="D33" s="18">
        <v>0.09</v>
      </c>
      <c r="E33" s="18">
        <f t="shared" si="2"/>
        <v>17.43119266</v>
      </c>
      <c r="F33" s="18" t="s">
        <v>150</v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 t="s">
        <v>26</v>
      </c>
      <c r="B34" s="18">
        <v>1.0</v>
      </c>
      <c r="C34" s="18">
        <v>0.146</v>
      </c>
      <c r="D34" s="18">
        <v>0.13</v>
      </c>
      <c r="E34" s="18">
        <f t="shared" si="2"/>
        <v>10.95890411</v>
      </c>
      <c r="F34" s="18" t="s">
        <v>150</v>
      </c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 t="s">
        <v>26</v>
      </c>
      <c r="B35" s="18">
        <v>2.0</v>
      </c>
      <c r="C35" s="18">
        <v>0.125</v>
      </c>
      <c r="D35" s="18">
        <v>0.109</v>
      </c>
      <c r="E35" s="18">
        <f t="shared" si="2"/>
        <v>12.8</v>
      </c>
      <c r="F35" s="18" t="s">
        <v>150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 t="s">
        <v>26</v>
      </c>
      <c r="B36" s="18">
        <v>3.0</v>
      </c>
      <c r="C36" s="18">
        <v>0.101</v>
      </c>
      <c r="D36" s="18">
        <v>0.088</v>
      </c>
      <c r="E36" s="18">
        <f t="shared" si="2"/>
        <v>12.87128713</v>
      </c>
      <c r="F36" s="18" t="s">
        <v>150</v>
      </c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 t="s">
        <v>28</v>
      </c>
      <c r="B37" s="18">
        <v>1.0</v>
      </c>
      <c r="C37" s="18">
        <v>0.108</v>
      </c>
      <c r="D37" s="18">
        <v>0.089</v>
      </c>
      <c r="E37" s="18">
        <f t="shared" si="2"/>
        <v>17.59259259</v>
      </c>
      <c r="F37" s="18" t="s">
        <v>150</v>
      </c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 t="s">
        <v>28</v>
      </c>
      <c r="B38" s="18">
        <v>2.0</v>
      </c>
      <c r="C38" s="18">
        <v>0.104</v>
      </c>
      <c r="D38" s="18">
        <v>0.093</v>
      </c>
      <c r="E38" s="18">
        <f t="shared" si="2"/>
        <v>10.57692308</v>
      </c>
      <c r="F38" s="18" t="s">
        <v>150</v>
      </c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 t="s">
        <v>28</v>
      </c>
      <c r="B39" s="18">
        <v>3.0</v>
      </c>
      <c r="C39" s="18">
        <v>0.1</v>
      </c>
      <c r="D39" s="18">
        <v>0.085</v>
      </c>
      <c r="E39" s="18">
        <f t="shared" si="2"/>
        <v>15</v>
      </c>
      <c r="F39" s="18" t="s">
        <v>150</v>
      </c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 t="s">
        <v>31</v>
      </c>
      <c r="B40" s="18">
        <v>1.0</v>
      </c>
      <c r="C40" s="18">
        <v>0.368</v>
      </c>
      <c r="D40" s="18">
        <v>0.306</v>
      </c>
      <c r="E40" s="18">
        <f t="shared" si="2"/>
        <v>16.84782609</v>
      </c>
      <c r="F40" s="18" t="s">
        <v>153</v>
      </c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 t="s">
        <v>31</v>
      </c>
      <c r="B41" s="18">
        <v>2.0</v>
      </c>
      <c r="C41" s="18">
        <v>0.375</v>
      </c>
      <c r="D41" s="18">
        <v>0.315</v>
      </c>
      <c r="E41" s="18">
        <f t="shared" si="2"/>
        <v>16</v>
      </c>
      <c r="F41" s="18" t="s">
        <v>153</v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 t="s">
        <v>31</v>
      </c>
      <c r="B42" s="18">
        <v>3.0</v>
      </c>
      <c r="C42" s="18">
        <v>0.36</v>
      </c>
      <c r="D42" s="18">
        <v>0.299</v>
      </c>
      <c r="E42" s="18">
        <f t="shared" si="2"/>
        <v>16.94444444</v>
      </c>
      <c r="F42" s="18" t="s">
        <v>153</v>
      </c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ht="15.75" customHeight="1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ht="15.75" customHeight="1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ht="15.75" customHeight="1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ht="15.75" customHeight="1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ht="15.75" customHeight="1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ht="15.75" customHeight="1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ht="15.75" customHeight="1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ht="15.75" customHeight="1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ht="15.75" customHeight="1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ht="15.75" customHeight="1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ht="15.75" customHeight="1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ht="15.75" customHeight="1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ht="15.75" customHeight="1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ht="15.75" customHeight="1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ht="15.75" customHeight="1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ht="15.75" customHeight="1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ht="15.75" customHeight="1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ht="15.75" customHeight="1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ht="15.75" customHeight="1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ht="15.75" customHeight="1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ht="15.75" customHeight="1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M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25"/>
    <col customWidth="1" min="2" max="2" width="7.38"/>
    <col customWidth="1" min="3" max="3" width="14.25"/>
    <col customWidth="1" min="4" max="4" width="9.63"/>
    <col customWidth="1" min="5" max="5" width="18.13"/>
    <col customWidth="1" min="6" max="6" width="26.25"/>
    <col customWidth="1" min="7" max="7" width="8.75"/>
    <col customWidth="1" min="8" max="8" width="6.88"/>
    <col customWidth="1" min="9" max="9" width="10.25"/>
    <col customWidth="1" min="10" max="10" width="12.88"/>
    <col customWidth="1" min="11" max="11" width="15.25"/>
    <col customWidth="1" min="12" max="12" width="25.25"/>
    <col customWidth="1" min="13" max="13" width="32.13"/>
    <col customWidth="1" min="14" max="14" width="44.0"/>
    <col customWidth="1" min="15" max="26" width="14.38"/>
  </cols>
  <sheetData>
    <row r="1">
      <c r="A1" s="17" t="s">
        <v>190</v>
      </c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39" t="s">
        <v>19</v>
      </c>
      <c r="B3" s="39" t="s">
        <v>140</v>
      </c>
      <c r="C3" s="39" t="s">
        <v>191</v>
      </c>
      <c r="D3" s="39" t="s">
        <v>99</v>
      </c>
      <c r="E3" s="39" t="s">
        <v>192</v>
      </c>
      <c r="F3" s="39" t="s">
        <v>193</v>
      </c>
      <c r="G3" s="18"/>
      <c r="H3" s="39" t="s">
        <v>19</v>
      </c>
      <c r="I3" s="39" t="s">
        <v>194</v>
      </c>
      <c r="J3" s="39" t="s">
        <v>195</v>
      </c>
      <c r="K3" s="39" t="s">
        <v>196</v>
      </c>
      <c r="L3" s="39" t="s">
        <v>197</v>
      </c>
      <c r="M3" s="39" t="s">
        <v>198</v>
      </c>
      <c r="N3" s="39" t="s">
        <v>199</v>
      </c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>
      <c r="A4" s="40" t="s">
        <v>20</v>
      </c>
      <c r="B4" s="41">
        <v>1.0</v>
      </c>
      <c r="C4" s="41">
        <v>0.225</v>
      </c>
      <c r="D4" s="41">
        <v>0.669</v>
      </c>
      <c r="E4" s="41">
        <f>(D4-Calibration!E5)/Calibration!E4</f>
        <v>13.4105008</v>
      </c>
      <c r="F4" s="41">
        <f t="shared" ref="F4:F21" si="2">E4*100/1000</f>
        <v>1.34105008</v>
      </c>
      <c r="G4" s="18"/>
      <c r="H4" s="40" t="s">
        <v>20</v>
      </c>
      <c r="I4" s="41">
        <f t="shared" ref="I4:K4" si="1">AVERAGE(D4:D6)</f>
        <v>0.6703333333</v>
      </c>
      <c r="J4" s="41">
        <f t="shared" si="1"/>
        <v>13.43929995</v>
      </c>
      <c r="K4" s="41">
        <f t="shared" si="1"/>
        <v>1.343929995</v>
      </c>
      <c r="L4" s="42">
        <v>91.82648402</v>
      </c>
      <c r="M4" s="41">
        <f>'Study Inputs'!B21*(4/'Study Inputs'!B6)</f>
        <v>0.5092958179</v>
      </c>
      <c r="N4" s="40" t="str">
        <f t="shared" ref="N4:N9" si="4">IF(K4&gt;M4*1.2,"Area-based check &gt;120%; source-reported assay retained separately","")</f>
        <v>Area-based check &gt;120%; source-reported assay retained separately</v>
      </c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>
      <c r="A5" s="40" t="s">
        <v>20</v>
      </c>
      <c r="B5" s="41">
        <v>2.0</v>
      </c>
      <c r="C5" s="41">
        <v>0.237</v>
      </c>
      <c r="D5" s="41">
        <v>0.665</v>
      </c>
      <c r="E5" s="41">
        <f>(D5-Calibration!E5)/Calibration!E4</f>
        <v>13.32410335</v>
      </c>
      <c r="F5" s="41">
        <f t="shared" si="2"/>
        <v>1.332410335</v>
      </c>
      <c r="G5" s="18"/>
      <c r="H5" s="40" t="s">
        <v>22</v>
      </c>
      <c r="I5" s="41">
        <f t="shared" ref="I5:K5" si="3">AVERAGE(D7:D9)</f>
        <v>0.359</v>
      </c>
      <c r="J5" s="41">
        <f t="shared" si="3"/>
        <v>6.714698859</v>
      </c>
      <c r="K5" s="41">
        <f t="shared" si="3"/>
        <v>0.6714698859</v>
      </c>
      <c r="L5" s="42">
        <v>123.7931034</v>
      </c>
      <c r="M5" s="41">
        <f>'Study Inputs'!B21*(4/'Study Inputs'!B6)</f>
        <v>0.5092958179</v>
      </c>
      <c r="N5" s="40" t="str">
        <f t="shared" si="4"/>
        <v>Area-based check &gt;120%; source-reported assay retained separately</v>
      </c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>
      <c r="A6" s="40" t="s">
        <v>20</v>
      </c>
      <c r="B6" s="41">
        <v>3.0</v>
      </c>
      <c r="C6" s="41">
        <v>0.223</v>
      </c>
      <c r="D6" s="41">
        <v>0.677</v>
      </c>
      <c r="E6" s="41">
        <f>(D6-Calibration!E5)/Calibration!E4</f>
        <v>13.58329569</v>
      </c>
      <c r="F6" s="41">
        <f t="shared" si="2"/>
        <v>1.358329569</v>
      </c>
      <c r="G6" s="18"/>
      <c r="H6" s="40" t="s">
        <v>25</v>
      </c>
      <c r="I6" s="41">
        <f t="shared" ref="I6:K6" si="5">AVERAGE(D10:D12)</f>
        <v>0.366</v>
      </c>
      <c r="J6" s="41">
        <f t="shared" si="5"/>
        <v>6.865894387</v>
      </c>
      <c r="K6" s="41">
        <f t="shared" si="5"/>
        <v>0.6865894387</v>
      </c>
      <c r="L6" s="42">
        <v>126.2068966</v>
      </c>
      <c r="M6" s="41">
        <f>'Study Inputs'!B21*(4/'Study Inputs'!B6)</f>
        <v>0.5092958179</v>
      </c>
      <c r="N6" s="40" t="str">
        <f t="shared" si="4"/>
        <v>Area-based check &gt;120%; source-reported assay retained separately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>
      <c r="A7" s="40" t="s">
        <v>22</v>
      </c>
      <c r="B7" s="41">
        <v>1.0</v>
      </c>
      <c r="C7" s="41">
        <v>0.082</v>
      </c>
      <c r="D7" s="41">
        <v>0.36</v>
      </c>
      <c r="E7" s="41">
        <f>(D7-Calibration!E5)/Calibration!E4</f>
        <v>6.73629822</v>
      </c>
      <c r="F7" s="41">
        <f t="shared" si="2"/>
        <v>0.673629822</v>
      </c>
      <c r="G7" s="18"/>
      <c r="H7" s="40" t="s">
        <v>26</v>
      </c>
      <c r="I7" s="41">
        <f t="shared" ref="I7:K7" si="6">AVERAGE(D13:D15)</f>
        <v>0.394</v>
      </c>
      <c r="J7" s="41">
        <f t="shared" si="6"/>
        <v>7.470676498</v>
      </c>
      <c r="K7" s="41">
        <f t="shared" si="6"/>
        <v>0.7470676498</v>
      </c>
      <c r="L7" s="42">
        <v>77.1037182</v>
      </c>
      <c r="M7" s="41">
        <f>'Study Inputs'!B21*(4/'Study Inputs'!B6)</f>
        <v>0.5092958179</v>
      </c>
      <c r="N7" s="40" t="str">
        <f t="shared" si="4"/>
        <v>Area-based check &gt;120%; source-reported assay retained separately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>
      <c r="A8" s="40" t="s">
        <v>22</v>
      </c>
      <c r="B8" s="41">
        <v>2.0</v>
      </c>
      <c r="C8" s="41">
        <v>0.08</v>
      </c>
      <c r="D8" s="41">
        <v>0.358</v>
      </c>
      <c r="E8" s="41">
        <f>(D8-Calibration!E5)/Calibration!E4</f>
        <v>6.693099498</v>
      </c>
      <c r="F8" s="41">
        <f t="shared" si="2"/>
        <v>0.6693099498</v>
      </c>
      <c r="G8" s="18"/>
      <c r="H8" s="40" t="s">
        <v>28</v>
      </c>
      <c r="I8" s="41">
        <f t="shared" ref="I8:K8" si="7">AVERAGE(D16:D18)</f>
        <v>0.5363333333</v>
      </c>
      <c r="J8" s="41">
        <f t="shared" si="7"/>
        <v>10.54498556</v>
      </c>
      <c r="K8" s="41">
        <f t="shared" si="7"/>
        <v>1.054498556</v>
      </c>
      <c r="L8" s="42">
        <v>104.9575995</v>
      </c>
      <c r="M8" s="41">
        <f>'Study Inputs'!B21*(4/'Study Inputs'!B6)</f>
        <v>0.5092958179</v>
      </c>
      <c r="N8" s="40" t="str">
        <f t="shared" si="4"/>
        <v>Area-based check &gt;120%; source-reported assay retained separately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>
      <c r="A9" s="40" t="s">
        <v>22</v>
      </c>
      <c r="B9" s="41">
        <v>3.0</v>
      </c>
      <c r="C9" s="41">
        <v>0.072</v>
      </c>
      <c r="D9" s="41">
        <v>0.359</v>
      </c>
      <c r="E9" s="41">
        <f>(D9-Calibration!E5)/Calibration!E4</f>
        <v>6.714698859</v>
      </c>
      <c r="F9" s="41">
        <f t="shared" si="2"/>
        <v>0.6714698859</v>
      </c>
      <c r="G9" s="18"/>
      <c r="H9" s="40" t="s">
        <v>31</v>
      </c>
      <c r="I9" s="41">
        <f t="shared" ref="I9:K9" si="8">AVERAGE(D19:D21)</f>
        <v>0.627</v>
      </c>
      <c r="J9" s="41">
        <f t="shared" si="8"/>
        <v>12.50332763</v>
      </c>
      <c r="K9" s="41">
        <f t="shared" si="8"/>
        <v>1.250332763</v>
      </c>
      <c r="L9" s="42">
        <v>85.89041096</v>
      </c>
      <c r="M9" s="41">
        <f>'Study Inputs'!B21*(4/'Study Inputs'!B6)</f>
        <v>0.5092958179</v>
      </c>
      <c r="N9" s="40" t="str">
        <f t="shared" si="4"/>
        <v>Area-based check &gt;120%; source-reported assay retained separately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40" t="s">
        <v>25</v>
      </c>
      <c r="B10" s="41">
        <v>1.0</v>
      </c>
      <c r="C10" s="41">
        <v>0.156</v>
      </c>
      <c r="D10" s="41">
        <v>0.366</v>
      </c>
      <c r="E10" s="41">
        <f>(D10-Calibration!E5)/Calibration!E4</f>
        <v>6.865894387</v>
      </c>
      <c r="F10" s="41">
        <f t="shared" si="2"/>
        <v>0.6865894387</v>
      </c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40" t="s">
        <v>25</v>
      </c>
      <c r="B11" s="41">
        <v>2.0</v>
      </c>
      <c r="C11" s="41">
        <v>0.123</v>
      </c>
      <c r="D11" s="41">
        <v>0.372</v>
      </c>
      <c r="E11" s="41">
        <f>(D11-Calibration!E5)/Calibration!E4</f>
        <v>6.995490554</v>
      </c>
      <c r="F11" s="41">
        <f t="shared" si="2"/>
        <v>0.6995490554</v>
      </c>
      <c r="G11" s="18"/>
      <c r="H11" s="18"/>
      <c r="I11" s="18"/>
      <c r="J11" s="18"/>
      <c r="K11" s="43" t="s">
        <v>19</v>
      </c>
      <c r="L11" s="44" t="s">
        <v>200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40" t="s">
        <v>25</v>
      </c>
      <c r="B12" s="41">
        <v>3.0</v>
      </c>
      <c r="C12" s="41">
        <v>0.072</v>
      </c>
      <c r="D12" s="41">
        <v>0.36</v>
      </c>
      <c r="E12" s="41">
        <f>(D12-Calibration!E5)/Calibration!E4</f>
        <v>6.73629822</v>
      </c>
      <c r="F12" s="41">
        <f t="shared" si="2"/>
        <v>0.673629822</v>
      </c>
      <c r="G12" s="18"/>
      <c r="H12" s="18"/>
      <c r="I12" s="18"/>
      <c r="J12" s="18"/>
      <c r="K12" s="37" t="s">
        <v>20</v>
      </c>
      <c r="L12" s="37">
        <v>91.82648402</v>
      </c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40" t="s">
        <v>26</v>
      </c>
      <c r="B13" s="41">
        <v>1.0</v>
      </c>
      <c r="C13" s="41">
        <v>0.149</v>
      </c>
      <c r="D13" s="41">
        <v>0.392</v>
      </c>
      <c r="E13" s="41">
        <f>(D13-Calibration!E5)/Calibration!E4</f>
        <v>7.427477775</v>
      </c>
      <c r="F13" s="41">
        <f t="shared" si="2"/>
        <v>0.7427477775</v>
      </c>
      <c r="G13" s="18"/>
      <c r="H13" s="18"/>
      <c r="I13" s="18"/>
      <c r="J13" s="18"/>
      <c r="K13" s="37" t="s">
        <v>22</v>
      </c>
      <c r="L13" s="37">
        <v>123.7931034</v>
      </c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40" t="s">
        <v>26</v>
      </c>
      <c r="B14" s="41">
        <v>2.0</v>
      </c>
      <c r="C14" s="41">
        <v>0.171</v>
      </c>
      <c r="D14" s="41">
        <v>0.399</v>
      </c>
      <c r="E14" s="41">
        <f>(D14-Calibration!E5)/Calibration!E4</f>
        <v>7.578673303</v>
      </c>
      <c r="F14" s="41">
        <f t="shared" si="2"/>
        <v>0.7578673303</v>
      </c>
      <c r="G14" s="18"/>
      <c r="H14" s="18"/>
      <c r="I14" s="18"/>
      <c r="J14" s="18"/>
      <c r="K14" s="37" t="s">
        <v>25</v>
      </c>
      <c r="L14" s="37">
        <v>126.2068966</v>
      </c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40" t="s">
        <v>26</v>
      </c>
      <c r="B15" s="41">
        <v>3.0</v>
      </c>
      <c r="C15" s="41">
        <v>0.149</v>
      </c>
      <c r="D15" s="41">
        <v>0.391</v>
      </c>
      <c r="E15" s="41">
        <f>(D15-Calibration!E5)/Calibration!E4</f>
        <v>7.405878414</v>
      </c>
      <c r="F15" s="41">
        <f t="shared" si="2"/>
        <v>0.7405878414</v>
      </c>
      <c r="G15" s="18"/>
      <c r="H15" s="18"/>
      <c r="I15" s="18"/>
      <c r="J15" s="18"/>
      <c r="K15" s="37" t="s">
        <v>26</v>
      </c>
      <c r="L15" s="37">
        <v>77.1037182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40" t="s">
        <v>28</v>
      </c>
      <c r="B16" s="41">
        <v>1.0</v>
      </c>
      <c r="C16" s="41">
        <v>0.11</v>
      </c>
      <c r="D16" s="41">
        <v>0.53</v>
      </c>
      <c r="E16" s="41">
        <f>(D16-Calibration!E5)/Calibration!E4</f>
        <v>10.40818961</v>
      </c>
      <c r="F16" s="41">
        <f t="shared" si="2"/>
        <v>1.040818961</v>
      </c>
      <c r="G16" s="18"/>
      <c r="H16" s="18"/>
      <c r="I16" s="18"/>
      <c r="J16" s="18"/>
      <c r="K16" s="37" t="s">
        <v>28</v>
      </c>
      <c r="L16" s="37">
        <v>104.9575995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40" t="s">
        <v>28</v>
      </c>
      <c r="B17" s="41">
        <v>2.0</v>
      </c>
      <c r="C17" s="41">
        <v>0.068</v>
      </c>
      <c r="D17" s="41">
        <v>0.532</v>
      </c>
      <c r="E17" s="41">
        <f>(D17-Calibration!E5)/Calibration!E4</f>
        <v>10.45138833</v>
      </c>
      <c r="F17" s="41">
        <f t="shared" si="2"/>
        <v>1.045138833</v>
      </c>
      <c r="G17" s="18"/>
      <c r="H17" s="18"/>
      <c r="I17" s="18"/>
      <c r="J17" s="18"/>
      <c r="K17" s="37" t="s">
        <v>31</v>
      </c>
      <c r="L17" s="37">
        <v>85.89041096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40" t="s">
        <v>28</v>
      </c>
      <c r="B18" s="41">
        <v>3.0</v>
      </c>
      <c r="C18" s="41">
        <v>0.083</v>
      </c>
      <c r="D18" s="41">
        <v>0.547</v>
      </c>
      <c r="E18" s="41">
        <f>(D18-Calibration!E5)/Calibration!E4</f>
        <v>10.77537875</v>
      </c>
      <c r="F18" s="41">
        <f t="shared" si="2"/>
        <v>1.077537875</v>
      </c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40" t="s">
        <v>31</v>
      </c>
      <c r="B19" s="41">
        <v>1.0</v>
      </c>
      <c r="C19" s="41">
        <v>0.13</v>
      </c>
      <c r="D19" s="41">
        <v>0.625</v>
      </c>
      <c r="E19" s="41">
        <f>(D19-Calibration!E5)/Calibration!E4</f>
        <v>12.46012891</v>
      </c>
      <c r="F19" s="41">
        <f t="shared" si="2"/>
        <v>1.246012891</v>
      </c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40" t="s">
        <v>31</v>
      </c>
      <c r="B20" s="41">
        <v>2.0</v>
      </c>
      <c r="C20" s="41">
        <v>0.07</v>
      </c>
      <c r="D20" s="41">
        <v>0.628</v>
      </c>
      <c r="E20" s="41">
        <f>(D20-Calibration!E5)/Calibration!E4</f>
        <v>12.52492699</v>
      </c>
      <c r="F20" s="41">
        <f t="shared" si="2"/>
        <v>1.252492699</v>
      </c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40" t="s">
        <v>31</v>
      </c>
      <c r="B21" s="41">
        <v>3.0</v>
      </c>
      <c r="C21" s="41">
        <v>0.075</v>
      </c>
      <c r="D21" s="41">
        <v>0.628</v>
      </c>
      <c r="E21" s="41">
        <f>(D21-Calibration!E5)/Calibration!E4</f>
        <v>12.52492699</v>
      </c>
      <c r="F21" s="41">
        <f t="shared" si="2"/>
        <v>1.252492699</v>
      </c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N1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13"/>
    <col customWidth="1" min="2" max="7" width="10.25"/>
    <col customWidth="1" min="8" max="8" width="8.75"/>
    <col customWidth="1" min="9" max="9" width="32.0"/>
    <col customWidth="1" min="10" max="10" width="40.38"/>
    <col customWidth="1" min="11" max="15" width="6.88"/>
    <col customWidth="1" min="16" max="26" width="14.38"/>
  </cols>
  <sheetData>
    <row r="1">
      <c r="A1" s="17" t="s">
        <v>214</v>
      </c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4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4" t="s">
        <v>169</v>
      </c>
      <c r="B3" s="4" t="s">
        <v>20</v>
      </c>
      <c r="C3" s="4" t="s">
        <v>22</v>
      </c>
      <c r="D3" s="4" t="s">
        <v>25</v>
      </c>
      <c r="E3" s="4" t="s">
        <v>26</v>
      </c>
      <c r="F3" s="4" t="s">
        <v>28</v>
      </c>
      <c r="G3" s="4" t="s">
        <v>31</v>
      </c>
      <c r="H3" s="18"/>
      <c r="I3" s="4" t="s">
        <v>215</v>
      </c>
      <c r="J3" s="4" t="s">
        <v>20</v>
      </c>
      <c r="K3" s="4" t="s">
        <v>22</v>
      </c>
      <c r="L3" s="4" t="s">
        <v>25</v>
      </c>
      <c r="M3" s="4" t="s">
        <v>26</v>
      </c>
      <c r="N3" s="4" t="s">
        <v>28</v>
      </c>
      <c r="O3" s="4" t="s">
        <v>31</v>
      </c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>
      <c r="A4" s="48">
        <v>45.0</v>
      </c>
      <c r="B4" s="18">
        <v>0.17</v>
      </c>
      <c r="C4" s="18">
        <v>0.07</v>
      </c>
      <c r="D4" s="18">
        <v>0.062</v>
      </c>
      <c r="E4" s="18">
        <v>0.056</v>
      </c>
      <c r="F4" s="18">
        <v>0.08</v>
      </c>
      <c r="G4" s="18">
        <v>0.065</v>
      </c>
      <c r="H4" s="18"/>
      <c r="I4" s="18" t="s">
        <v>216</v>
      </c>
      <c r="J4" s="48">
        <v>6.25</v>
      </c>
      <c r="K4" s="18">
        <v>6.25</v>
      </c>
      <c r="L4" s="18">
        <v>6.25</v>
      </c>
      <c r="M4" s="18">
        <v>6.25</v>
      </c>
      <c r="N4" s="18">
        <v>6.25</v>
      </c>
      <c r="O4" s="18">
        <v>6.25</v>
      </c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>
      <c r="A5" s="48">
        <v>60.0</v>
      </c>
      <c r="B5" s="18">
        <v>0.182</v>
      </c>
      <c r="C5" s="18">
        <v>0.08</v>
      </c>
      <c r="D5" s="18">
        <v>0.069</v>
      </c>
      <c r="E5" s="18">
        <v>0.063</v>
      </c>
      <c r="F5" s="18">
        <v>0.082</v>
      </c>
      <c r="G5" s="18">
        <v>0.0815</v>
      </c>
      <c r="H5" s="18"/>
      <c r="I5" s="18" t="s">
        <v>217</v>
      </c>
      <c r="J5" s="48">
        <f>'Study Inputs'!B21*(6.25/'Study Inputs'!B6)</f>
        <v>0.7957747155</v>
      </c>
      <c r="K5" s="18">
        <f>'Study Inputs'!B21*(6.25/'Study Inputs'!B6)</f>
        <v>0.7957747155</v>
      </c>
      <c r="L5" s="18">
        <f>'Study Inputs'!B21*(6.25/'Study Inputs'!B6)</f>
        <v>0.7957747155</v>
      </c>
      <c r="M5" s="18">
        <f>'Study Inputs'!B21*(6.25/'Study Inputs'!B6)</f>
        <v>0.7957747155</v>
      </c>
      <c r="N5" s="18">
        <f>'Study Inputs'!B21*(6.25/'Study Inputs'!B6)</f>
        <v>0.7957747155</v>
      </c>
      <c r="O5" s="18">
        <f>'Study Inputs'!B21*(6.25/'Study Inputs'!B6)</f>
        <v>0.7957747155</v>
      </c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>
      <c r="A6" s="48">
        <v>90.0</v>
      </c>
      <c r="B6" s="18">
        <v>0.185</v>
      </c>
      <c r="C6" s="18">
        <v>0.085</v>
      </c>
      <c r="D6" s="18">
        <v>0.073</v>
      </c>
      <c r="E6" s="18">
        <v>0.068</v>
      </c>
      <c r="F6" s="18">
        <v>0.088</v>
      </c>
      <c r="G6" s="18">
        <v>0.0865</v>
      </c>
      <c r="H6" s="18"/>
      <c r="I6" s="18" t="s">
        <v>221</v>
      </c>
      <c r="J6" s="48">
        <f t="shared" ref="J6:O6" si="1">B26</f>
        <v>3.08422447</v>
      </c>
      <c r="K6" s="18">
        <f t="shared" si="1"/>
        <v>1.600056771</v>
      </c>
      <c r="L6" s="18">
        <f t="shared" si="1"/>
        <v>1.363867758</v>
      </c>
      <c r="M6" s="18">
        <f t="shared" si="1"/>
        <v>0.546245543</v>
      </c>
      <c r="N6" s="18">
        <f t="shared" si="1"/>
        <v>1.795682185</v>
      </c>
      <c r="O6" s="18">
        <f t="shared" si="1"/>
        <v>1.017003618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>
      <c r="A7" s="48">
        <v>120.0</v>
      </c>
      <c r="B7" s="18">
        <v>0.1905</v>
      </c>
      <c r="C7" s="18">
        <v>0.088</v>
      </c>
      <c r="D7" s="18">
        <v>0.074</v>
      </c>
      <c r="E7" s="18">
        <v>0.073</v>
      </c>
      <c r="F7" s="18">
        <v>0.092</v>
      </c>
      <c r="G7" s="18">
        <v>0.092</v>
      </c>
      <c r="H7" s="18"/>
      <c r="I7" s="18" t="s">
        <v>222</v>
      </c>
      <c r="J7" s="48">
        <f t="shared" ref="J7:O7" si="2">J6/J5*100</f>
        <v>387.5750775</v>
      </c>
      <c r="K7" s="18">
        <f t="shared" si="2"/>
        <v>201.0690639</v>
      </c>
      <c r="L7" s="18">
        <f t="shared" si="2"/>
        <v>171.3886771</v>
      </c>
      <c r="M7" s="18">
        <f t="shared" si="2"/>
        <v>68.6432394</v>
      </c>
      <c r="N7" s="18">
        <f t="shared" si="2"/>
        <v>225.6520784</v>
      </c>
      <c r="O7" s="18">
        <f t="shared" si="2"/>
        <v>127.8004438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>
      <c r="A8" s="48">
        <v>150.0</v>
      </c>
      <c r="B8" s="18">
        <v>0.205</v>
      </c>
      <c r="C8" s="18">
        <v>0.13</v>
      </c>
      <c r="D8" s="18">
        <v>0.118</v>
      </c>
      <c r="E8" s="18">
        <v>0.076</v>
      </c>
      <c r="F8" s="18">
        <v>0.14</v>
      </c>
      <c r="G8" s="18">
        <v>0.1</v>
      </c>
      <c r="H8" s="18"/>
      <c r="I8" s="18" t="s">
        <v>6</v>
      </c>
      <c r="J8" s="47" t="str">
        <f>IF(J7&gt;100,"Exceeds area-based theoretical dose","")</f>
        <v>Exceeds area-based theoretical dose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>
      <c r="A9" s="4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4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4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4" t="s">
        <v>169</v>
      </c>
      <c r="B12" s="4" t="s">
        <v>20</v>
      </c>
      <c r="C12" s="4" t="s">
        <v>22</v>
      </c>
      <c r="D12" s="4" t="s">
        <v>25</v>
      </c>
      <c r="E12" s="4" t="s">
        <v>26</v>
      </c>
      <c r="F12" s="4" t="s">
        <v>28</v>
      </c>
      <c r="G12" s="4" t="s">
        <v>31</v>
      </c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48">
        <v>45.0</v>
      </c>
      <c r="B13" s="18">
        <f>(B4-Calibration!E5)/Calibration!E4</f>
        <v>2.632419612</v>
      </c>
      <c r="C13" s="18">
        <f>(C4-Calibration!E5)/Calibration!E4</f>
        <v>0.472483503</v>
      </c>
      <c r="D13" s="18">
        <f>(D4-Calibration!E5)/Calibration!E4</f>
        <v>0.2996886143</v>
      </c>
      <c r="E13" s="18">
        <f>(E4-Calibration!E5)/Calibration!E4</f>
        <v>0.1700924477</v>
      </c>
      <c r="F13" s="18">
        <f>(F4-Calibration!E5)/Calibration!E4</f>
        <v>0.688477114</v>
      </c>
      <c r="G13" s="18">
        <f>(G4-Calibration!E5)/Calibration!E4</f>
        <v>0.3644866975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48">
        <v>60.0</v>
      </c>
      <c r="B14" s="18">
        <f>(B5-Calibration!E5)/Calibration!E4</f>
        <v>2.891611946</v>
      </c>
      <c r="C14" s="18">
        <f>(C5-Calibration!E5)/Calibration!E4</f>
        <v>0.688477114</v>
      </c>
      <c r="D14" s="18">
        <f>(D5-Calibration!E5)/Calibration!E4</f>
        <v>0.4508841419</v>
      </c>
      <c r="E14" s="18">
        <f>(E5-Calibration!E5)/Calibration!E4</f>
        <v>0.3212879753</v>
      </c>
      <c r="F14" s="18">
        <f>(F5-Calibration!E5)/Calibration!E4</f>
        <v>0.7316758361</v>
      </c>
      <c r="G14" s="18">
        <f>(G5-Calibration!E5)/Calibration!E4</f>
        <v>0.7208761556</v>
      </c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48">
        <v>90.0</v>
      </c>
      <c r="B15" s="18">
        <f>(B6-Calibration!E5)/Calibration!E4</f>
        <v>2.956410029</v>
      </c>
      <c r="C15" s="18">
        <f>(C6-Calibration!E5)/Calibration!E4</f>
        <v>0.7964739194</v>
      </c>
      <c r="D15" s="18">
        <f>(D6-Calibration!E5)/Calibration!E4</f>
        <v>0.5372815863</v>
      </c>
      <c r="E15" s="18">
        <f>(E6-Calibration!E5)/Calibration!E4</f>
        <v>0.4292847808</v>
      </c>
      <c r="F15" s="18">
        <f>(F6-Calibration!E5)/Calibration!E4</f>
        <v>0.8612720027</v>
      </c>
      <c r="G15" s="18">
        <f>(G6-Calibration!E5)/Calibration!E4</f>
        <v>0.8288729611</v>
      </c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48">
        <v>120.0</v>
      </c>
      <c r="B16" s="18">
        <f>(B7-Calibration!E5)/Calibration!E4</f>
        <v>3.075206515</v>
      </c>
      <c r="C16" s="18">
        <f>(C7-Calibration!E5)/Calibration!E4</f>
        <v>0.8612720027</v>
      </c>
      <c r="D16" s="18">
        <f>(D7-Calibration!E5)/Calibration!E4</f>
        <v>0.5588809474</v>
      </c>
      <c r="E16" s="18">
        <f>(E7-Calibration!E5)/Calibration!E4</f>
        <v>0.5372815863</v>
      </c>
      <c r="F16" s="18">
        <f>(F7-Calibration!E5)/Calibration!E4</f>
        <v>0.9476694471</v>
      </c>
      <c r="G16" s="18">
        <f>(G7-Calibration!E5)/Calibration!E4</f>
        <v>0.9476694471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48">
        <v>150.0</v>
      </c>
      <c r="B17" s="18">
        <f>(B8-Calibration!E5)/Calibration!E4</f>
        <v>3.388397251</v>
      </c>
      <c r="C17" s="18">
        <f>(C8-Calibration!E5)/Calibration!E4</f>
        <v>1.768445169</v>
      </c>
      <c r="D17" s="18">
        <f>(D8-Calibration!E5)/Calibration!E4</f>
        <v>1.509252836</v>
      </c>
      <c r="E17" s="18">
        <f>(E8-Calibration!E5)/Calibration!E4</f>
        <v>0.6020796696</v>
      </c>
      <c r="F17" s="18">
        <f>(F8-Calibration!E5)/Calibration!E4</f>
        <v>1.98443878</v>
      </c>
      <c r="G17" s="18">
        <f>(G8-Calibration!E5)/Calibration!E4</f>
        <v>1.120464336</v>
      </c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4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4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4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4" t="s">
        <v>169</v>
      </c>
      <c r="B21" s="4" t="s">
        <v>20</v>
      </c>
      <c r="C21" s="4" t="s">
        <v>22</v>
      </c>
      <c r="D21" s="4" t="s">
        <v>25</v>
      </c>
      <c r="E21" s="4" t="s">
        <v>26</v>
      </c>
      <c r="F21" s="4" t="s">
        <v>28</v>
      </c>
      <c r="G21" s="4" t="s">
        <v>31</v>
      </c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48">
        <v>45.0</v>
      </c>
      <c r="B22" s="18">
        <f>(B13*'Study Inputs'!B9)/1000</f>
        <v>2.369177651</v>
      </c>
      <c r="C22" s="18">
        <f>(C13*'Study Inputs'!B9)/1000</f>
        <v>0.4252351527</v>
      </c>
      <c r="D22" s="18">
        <f>(D13*'Study Inputs'!B9)/1000</f>
        <v>0.2697197528</v>
      </c>
      <c r="E22" s="18">
        <f>(E13*'Study Inputs'!B9)/1000</f>
        <v>0.1530832029</v>
      </c>
      <c r="F22" s="18">
        <f>(F13*'Study Inputs'!B9)/1000</f>
        <v>0.6196294026</v>
      </c>
      <c r="G22" s="18">
        <f>(G13*'Study Inputs'!B9)/1000</f>
        <v>0.3280380278</v>
      </c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48">
        <v>60.0</v>
      </c>
      <c r="B23" s="18">
        <f>(B14*'Study Inputs'!B9+'Study Inputs'!B10*SUM(B$13:B13))/1000</f>
        <v>2.61034801</v>
      </c>
      <c r="C23" s="18">
        <f>(C14*'Study Inputs'!B9+'Study Inputs'!B10*SUM(C$13:C13))/1000</f>
        <v>0.6210468531</v>
      </c>
      <c r="D23" s="18">
        <f>(D14*'Study Inputs'!B9+'Study Inputs'!B10*SUM(D$13:D13))/1000</f>
        <v>0.4066947936</v>
      </c>
      <c r="E23" s="18">
        <f>(E14*'Study Inputs'!B9+'Study Inputs'!B10*SUM(E$13:E13))/1000</f>
        <v>0.2896694552</v>
      </c>
      <c r="F23" s="18">
        <f>(F14*'Study Inputs'!B9+'Study Inputs'!B10*SUM(F$13:F13))/1000</f>
        <v>0.6605736839</v>
      </c>
      <c r="G23" s="18">
        <f>(G14*'Study Inputs'!B9+'Study Inputs'!B10*SUM(G$13:G13))/1000</f>
        <v>0.6498820001</v>
      </c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48">
        <v>90.0</v>
      </c>
      <c r="B24" s="18">
        <f>(B15*'Study Inputs'!B9+'Study Inputs'!B10*SUM(B$13:B14))/1000</f>
        <v>2.677341121</v>
      </c>
      <c r="C24" s="18">
        <f>(C15*'Study Inputs'!B9+'Study Inputs'!B10*SUM(C$13:C14))/1000</f>
        <v>0.7203094093</v>
      </c>
      <c r="D24" s="18">
        <f>(D15*'Study Inputs'!B9+'Study Inputs'!B10*SUM(D$13:D14))/1000</f>
        <v>0.4858051459</v>
      </c>
      <c r="E24" s="18">
        <f>(E15*'Study Inputs'!B9+'Study Inputs'!B10*SUM(E$13:E14))/1000</f>
        <v>0.387830444</v>
      </c>
      <c r="F24" s="18">
        <f>(F15*'Study Inputs'!B9+'Study Inputs'!B10*SUM(F$13:F14))/1000</f>
        <v>0.7794052613</v>
      </c>
      <c r="G24" s="18">
        <f>(G15*'Study Inputs'!B9+'Study Inputs'!B10*SUM(G$13:G14))/1000</f>
        <v>0.7492417535</v>
      </c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48">
        <v>120.0</v>
      </c>
      <c r="B25" s="18">
        <f>(B16*'Study Inputs'!B9+'Study Inputs'!B10*SUM(B$13:B15))/1000</f>
        <v>2.793127188</v>
      </c>
      <c r="C25" s="18">
        <f>(C16*'Study Inputs'!B9+'Study Inputs'!B10*SUM(C$13:C15))/1000</f>
        <v>0.781017106</v>
      </c>
      <c r="D25" s="18">
        <f>(D16*'Study Inputs'!B9+'Study Inputs'!B10*SUM(D$13:D15))/1000</f>
        <v>0.5068564157</v>
      </c>
      <c r="E25" s="18">
        <f>(E16*'Study Inputs'!B9+'Study Inputs'!B10*SUM(E$13:E15))/1000</f>
        <v>0.4863154233</v>
      </c>
      <c r="F25" s="18">
        <f>(F16*'Study Inputs'!B9+'Study Inputs'!B10*SUM(F$13:F15))/1000</f>
        <v>0.8597467772</v>
      </c>
      <c r="G25" s="18">
        <f>(G16*'Study Inputs'!B9+'Study Inputs'!B10*SUM(G$13:G15))/1000</f>
        <v>0.8586452098</v>
      </c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48">
        <v>150.0</v>
      </c>
      <c r="B26" s="18">
        <f>(B17*'Study Inputs'!B9+'Study Inputs'!B10*SUM(B$13:B16))/1000</f>
        <v>3.08422447</v>
      </c>
      <c r="C26" s="18">
        <f>(C17*'Study Inputs'!B9+'Study Inputs'!B10*SUM(C$13:C16))/1000</f>
        <v>1.600056771</v>
      </c>
      <c r="D26" s="18">
        <f>(D17*'Study Inputs'!B9+'Study Inputs'!B10*SUM(D$13:D16))/1000</f>
        <v>1.363867758</v>
      </c>
      <c r="E26" s="18">
        <f>(E17*'Study Inputs'!B9+'Study Inputs'!B10*SUM(E$13:E16))/1000</f>
        <v>0.546245543</v>
      </c>
      <c r="F26" s="18">
        <f>(F17*'Study Inputs'!B9+'Study Inputs'!B10*SUM(F$13:F16))/1000</f>
        <v>1.795682185</v>
      </c>
      <c r="G26" s="18">
        <f>(G17*'Study Inputs'!B9+'Study Inputs'!B10*SUM(G$13:G16))/1000</f>
        <v>1.017003618</v>
      </c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4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4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4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4" t="s">
        <v>169</v>
      </c>
      <c r="B30" s="4" t="s">
        <v>20</v>
      </c>
      <c r="C30" s="4" t="s">
        <v>22</v>
      </c>
      <c r="D30" s="4" t="s">
        <v>25</v>
      </c>
      <c r="E30" s="4" t="s">
        <v>26</v>
      </c>
      <c r="F30" s="4" t="s">
        <v>28</v>
      </c>
      <c r="G30" s="4" t="s">
        <v>31</v>
      </c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48">
        <v>0.0</v>
      </c>
      <c r="B31" s="18">
        <v>0.0</v>
      </c>
      <c r="C31" s="18">
        <v>0.0</v>
      </c>
      <c r="D31" s="18">
        <v>0.0</v>
      </c>
      <c r="E31" s="18">
        <v>0.0</v>
      </c>
      <c r="F31" s="18">
        <v>0.0</v>
      </c>
      <c r="G31" s="18">
        <v>0.0</v>
      </c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48">
        <v>45.0</v>
      </c>
      <c r="B32" s="18">
        <f>B22/'Study Inputs'!B21*100</f>
        <v>23.69177651</v>
      </c>
      <c r="C32" s="18">
        <f>C22/'Study Inputs'!B21*100</f>
        <v>4.252351527</v>
      </c>
      <c r="D32" s="18">
        <f>D22/'Study Inputs'!B21*100</f>
        <v>2.697197528</v>
      </c>
      <c r="E32" s="18">
        <f>E22/'Study Inputs'!B21*100</f>
        <v>1.530832029</v>
      </c>
      <c r="F32" s="18">
        <f>F22/'Study Inputs'!B21*100</f>
        <v>6.196294026</v>
      </c>
      <c r="G32" s="18">
        <f>G22/'Study Inputs'!B21*100</f>
        <v>3.280380278</v>
      </c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48">
        <v>60.0</v>
      </c>
      <c r="B33" s="18">
        <f>B23/'Study Inputs'!B21*100</f>
        <v>26.1034801</v>
      </c>
      <c r="C33" s="18">
        <f>C23/'Study Inputs'!B21*100</f>
        <v>6.210468531</v>
      </c>
      <c r="D33" s="18">
        <f>D23/'Study Inputs'!B21*100</f>
        <v>4.066947936</v>
      </c>
      <c r="E33" s="18">
        <f>E23/'Study Inputs'!B21*100</f>
        <v>2.896694552</v>
      </c>
      <c r="F33" s="18">
        <f>F23/'Study Inputs'!B21*100</f>
        <v>6.605736839</v>
      </c>
      <c r="G33" s="18">
        <f>G23/'Study Inputs'!B21*100</f>
        <v>6.498820001</v>
      </c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48">
        <v>90.0</v>
      </c>
      <c r="B34" s="18">
        <f>B24/'Study Inputs'!B21*100</f>
        <v>26.77341121</v>
      </c>
      <c r="C34" s="18">
        <f>C24/'Study Inputs'!B21*100</f>
        <v>7.203094093</v>
      </c>
      <c r="D34" s="18">
        <f>D24/'Study Inputs'!B21*100</f>
        <v>4.858051459</v>
      </c>
      <c r="E34" s="18">
        <f>E24/'Study Inputs'!B21*100</f>
        <v>3.87830444</v>
      </c>
      <c r="F34" s="18">
        <f>F24/'Study Inputs'!B21*100</f>
        <v>7.794052613</v>
      </c>
      <c r="G34" s="18">
        <f>G24/'Study Inputs'!B21*100</f>
        <v>7.492417535</v>
      </c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48">
        <v>120.0</v>
      </c>
      <c r="B35" s="18">
        <f>B25/'Study Inputs'!B21*100</f>
        <v>27.93127188</v>
      </c>
      <c r="C35" s="18">
        <f>C25/'Study Inputs'!B21*100</f>
        <v>7.81017106</v>
      </c>
      <c r="D35" s="18">
        <f>D25/'Study Inputs'!B21*100</f>
        <v>5.068564157</v>
      </c>
      <c r="E35" s="18">
        <f>E25/'Study Inputs'!B21*100</f>
        <v>4.863154233</v>
      </c>
      <c r="F35" s="18">
        <f>F25/'Study Inputs'!B21*100</f>
        <v>8.597467772</v>
      </c>
      <c r="G35" s="18">
        <f>G25/'Study Inputs'!B21*100</f>
        <v>8.586452098</v>
      </c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48">
        <v>150.0</v>
      </c>
      <c r="B36" s="18">
        <f>B26/'Study Inputs'!B21*100</f>
        <v>30.8422447</v>
      </c>
      <c r="C36" s="18">
        <f>C26/'Study Inputs'!B21*100</f>
        <v>16.00056771</v>
      </c>
      <c r="D36" s="18">
        <f>D26/'Study Inputs'!B21*100</f>
        <v>13.63867758</v>
      </c>
      <c r="E36" s="18">
        <f>E26/'Study Inputs'!B21*100</f>
        <v>5.46245543</v>
      </c>
      <c r="F36" s="18">
        <f>F26/'Study Inputs'!B21*100</f>
        <v>17.95682185</v>
      </c>
      <c r="G36" s="18">
        <f>G26/'Study Inputs'!B21*100</f>
        <v>10.17003618</v>
      </c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4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4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4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4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4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4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4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4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4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4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4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4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4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4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4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4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4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4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4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4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4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4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4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4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4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4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4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4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4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4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4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4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4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4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4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4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4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4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4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4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4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4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4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4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4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4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4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4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4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4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4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4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4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4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4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4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4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4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4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4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4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4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4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4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4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4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4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4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4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4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4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4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4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4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4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4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4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4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4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4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4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4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4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4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4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4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4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4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4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4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4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4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4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4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4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4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4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4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4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4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4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4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4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4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4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4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4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4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4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4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4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4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4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4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4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4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4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4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4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4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4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4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4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4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4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4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4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4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4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4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4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4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4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4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4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4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4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4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4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4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4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4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4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4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4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4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4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4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4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4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4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4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4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4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4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4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4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4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4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4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4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4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4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4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4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4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4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4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4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4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4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4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4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4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4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4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4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4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4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4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4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4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4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4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>
      <c r="A221" s="4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ht="15.75" customHeight="1">
      <c r="A222" s="4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ht="15.75" customHeight="1">
      <c r="A223" s="4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ht="15.75" customHeight="1">
      <c r="A224" s="4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ht="15.75" customHeight="1">
      <c r="A225" s="4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ht="15.75" customHeight="1">
      <c r="A226" s="4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ht="15.75" customHeight="1">
      <c r="A227" s="4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ht="15.75" customHeight="1">
      <c r="A228" s="4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ht="15.75" customHeight="1">
      <c r="A229" s="4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ht="15.75" customHeight="1">
      <c r="A230" s="4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ht="15.75" customHeight="1">
      <c r="A231" s="4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ht="15.75" customHeight="1">
      <c r="A232" s="4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ht="15.75" customHeight="1">
      <c r="A233" s="4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ht="15.75" customHeight="1">
      <c r="A234" s="4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ht="15.75" customHeight="1">
      <c r="A235" s="4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ht="15.75" customHeight="1">
      <c r="A236" s="4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O1"/>
    <mergeCell ref="J8:O8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63"/>
    <col customWidth="1" min="2" max="2" width="10.75"/>
    <col customWidth="1" min="3" max="3" width="10.63"/>
    <col customWidth="1" min="4" max="4" width="8.25"/>
    <col customWidth="1" min="5" max="5" width="16.75"/>
    <col customWidth="1" min="6" max="6" width="5.63"/>
    <col customWidth="1" min="7" max="7" width="14.38"/>
    <col customWidth="1" min="8" max="8" width="5.88"/>
    <col customWidth="1" min="9" max="9" width="42.0"/>
    <col customWidth="1" min="10" max="26" width="14.38"/>
  </cols>
  <sheetData>
    <row r="1">
      <c r="A1" s="17" t="s">
        <v>154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4" t="s">
        <v>19</v>
      </c>
      <c r="B3" s="4" t="s">
        <v>155</v>
      </c>
      <c r="C3" s="4" t="s">
        <v>156</v>
      </c>
      <c r="D3" s="4" t="s">
        <v>157</v>
      </c>
      <c r="E3" s="4" t="s">
        <v>158</v>
      </c>
      <c r="F3" s="4" t="s">
        <v>159</v>
      </c>
      <c r="G3" s="4" t="s">
        <v>160</v>
      </c>
      <c r="H3" s="4" t="s">
        <v>161</v>
      </c>
      <c r="I3" s="4" t="s">
        <v>162</v>
      </c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>
      <c r="A4" s="18" t="s">
        <v>20</v>
      </c>
      <c r="B4" s="38">
        <v>0.9278906782087295</v>
      </c>
      <c r="C4" s="38">
        <v>0.9280233476091708</v>
      </c>
      <c r="D4" s="38">
        <v>0.9205288063937679</v>
      </c>
      <c r="E4" s="38">
        <v>0.9154365188407484</v>
      </c>
      <c r="F4" s="38">
        <v>0.18716811062257302</v>
      </c>
      <c r="G4" s="38" t="s">
        <v>163</v>
      </c>
      <c r="H4" s="38">
        <v>0.9280233476091708</v>
      </c>
      <c r="I4" s="18" t="s">
        <v>164</v>
      </c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>
      <c r="A5" s="18" t="s">
        <v>22</v>
      </c>
      <c r="B5" s="38">
        <v>0.7967913385586879</v>
      </c>
      <c r="C5" s="38">
        <v>0.786854036751166</v>
      </c>
      <c r="D5" s="38">
        <v>0.7507531457695252</v>
      </c>
      <c r="E5" s="38">
        <v>0.8314866101494095</v>
      </c>
      <c r="F5" s="38">
        <v>0.8949987069374092</v>
      </c>
      <c r="G5" s="38" t="s">
        <v>165</v>
      </c>
      <c r="H5" s="38">
        <v>0.8314866101494095</v>
      </c>
      <c r="I5" s="18" t="s">
        <v>164</v>
      </c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>
      <c r="A6" s="18" t="s">
        <v>25</v>
      </c>
      <c r="B6" s="38">
        <v>0.7294073367114831</v>
      </c>
      <c r="C6" s="38">
        <v>0.7214613785429194</v>
      </c>
      <c r="D6" s="38">
        <v>0.6761995178587563</v>
      </c>
      <c r="E6" s="38">
        <v>0.7783494834360943</v>
      </c>
      <c r="F6" s="38">
        <v>1.069466120258343</v>
      </c>
      <c r="G6" s="38" t="s">
        <v>165</v>
      </c>
      <c r="H6" s="38">
        <v>0.7783494834360943</v>
      </c>
      <c r="I6" s="18" t="s">
        <v>164</v>
      </c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>
      <c r="A7" s="18" t="s">
        <v>26</v>
      </c>
      <c r="B7" s="38">
        <v>0.9451485533765225</v>
      </c>
      <c r="C7" s="38">
        <v>0.9477693543806307</v>
      </c>
      <c r="D7" s="38">
        <v>0.9722143147392299</v>
      </c>
      <c r="E7" s="38">
        <v>0.9263865382183784</v>
      </c>
      <c r="F7" s="38">
        <v>0.9927940534532739</v>
      </c>
      <c r="G7" s="38" t="s">
        <v>166</v>
      </c>
      <c r="H7" s="38">
        <v>0.9722143147392299</v>
      </c>
      <c r="I7" s="18" t="s">
        <v>164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>
      <c r="A8" s="18" t="s">
        <v>28</v>
      </c>
      <c r="B8" s="38">
        <v>0.7368135449675818</v>
      </c>
      <c r="C8" s="38">
        <v>0.7271277330864873</v>
      </c>
      <c r="D8" s="38">
        <v>0.6767927500613651</v>
      </c>
      <c r="E8" s="38">
        <v>0.7190474862648841</v>
      </c>
      <c r="F8" s="38">
        <v>0.7345711173689242</v>
      </c>
      <c r="G8" s="38" t="s">
        <v>167</v>
      </c>
      <c r="H8" s="38">
        <v>0.7368135449675818</v>
      </c>
      <c r="I8" s="18" t="s">
        <v>164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>
      <c r="A9" s="18" t="s">
        <v>31</v>
      </c>
      <c r="B9" s="38">
        <v>0.883564814769385</v>
      </c>
      <c r="C9" s="38">
        <v>0.890216018791348</v>
      </c>
      <c r="D9" s="38">
        <v>0.9125448289553747</v>
      </c>
      <c r="E9" s="38">
        <v>0.8556372094773856</v>
      </c>
      <c r="F9" s="38">
        <v>0.8179728558100763</v>
      </c>
      <c r="G9" s="38" t="s">
        <v>166</v>
      </c>
      <c r="H9" s="38">
        <v>0.9125448289553747</v>
      </c>
      <c r="I9" s="18" t="s">
        <v>164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I1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8.0"/>
    <col customWidth="1" min="2" max="7" width="10.25"/>
    <col customWidth="1" min="8" max="8" width="8.75"/>
    <col customWidth="1" min="9" max="9" width="11.25"/>
    <col customWidth="1" min="10" max="10" width="74.38"/>
    <col customWidth="1" min="11" max="26" width="14.38"/>
  </cols>
  <sheetData>
    <row r="1">
      <c r="A1" s="17" t="s">
        <v>168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4" t="s">
        <v>169</v>
      </c>
      <c r="B3" s="4" t="s">
        <v>20</v>
      </c>
      <c r="C3" s="4" t="s">
        <v>22</v>
      </c>
      <c r="D3" s="4" t="s">
        <v>25</v>
      </c>
      <c r="E3" s="4" t="s">
        <v>26</v>
      </c>
      <c r="F3" s="4" t="s">
        <v>28</v>
      </c>
      <c r="G3" s="4" t="s">
        <v>31</v>
      </c>
      <c r="H3" s="18"/>
      <c r="I3" s="4" t="s">
        <v>170</v>
      </c>
      <c r="J3" s="4" t="s">
        <v>171</v>
      </c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>
      <c r="A4" s="18">
        <v>45.0</v>
      </c>
      <c r="B4" s="18">
        <v>23.691776512156938</v>
      </c>
      <c r="C4" s="18">
        <v>4.252351527080875</v>
      </c>
      <c r="D4" s="18">
        <v>2.6971975282747884</v>
      </c>
      <c r="E4" s="18">
        <v>1.5308320291702247</v>
      </c>
      <c r="F4" s="18">
        <v>6.19629402558848</v>
      </c>
      <c r="G4" s="18">
        <v>3.2803802778270703</v>
      </c>
      <c r="H4" s="18"/>
      <c r="I4" s="18" t="s">
        <v>172</v>
      </c>
      <c r="J4" s="18">
        <f>50*LOG10((1+AVERAGE(B13:B17))^(-0.5)*100)</f>
        <v>36.17262776</v>
      </c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>
      <c r="A5" s="18">
        <v>60.0</v>
      </c>
      <c r="B5" s="18">
        <v>26.10348009873992</v>
      </c>
      <c r="C5" s="18">
        <v>6.2104685306787495</v>
      </c>
      <c r="D5" s="18">
        <v>4.066947935657696</v>
      </c>
      <c r="E5" s="18">
        <v>2.896694551556116</v>
      </c>
      <c r="F5" s="18">
        <v>6.60573683870863</v>
      </c>
      <c r="G5" s="18">
        <v>6.498820001290712</v>
      </c>
      <c r="H5" s="18"/>
      <c r="I5" s="18" t="s">
        <v>173</v>
      </c>
      <c r="J5" s="18">
        <f>50*LOG10((1+AVERAGE(C13:C17))^(-0.5)*100)</f>
        <v>33.76502091</v>
      </c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>
      <c r="A6" s="18">
        <v>90.0</v>
      </c>
      <c r="B6" s="18">
        <v>26.773411206660093</v>
      </c>
      <c r="C6" s="18">
        <v>7.203094093351184</v>
      </c>
      <c r="D6" s="18">
        <v>4.858051459318171</v>
      </c>
      <c r="E6" s="18">
        <v>3.878304440070339</v>
      </c>
      <c r="F6" s="18">
        <v>7.7940526128974925</v>
      </c>
      <c r="G6" s="18">
        <v>7.492417535212394</v>
      </c>
      <c r="H6" s="18"/>
      <c r="I6" s="18" t="s">
        <v>174</v>
      </c>
      <c r="J6" s="18">
        <f>50*LOG10((1+AVERAGE(D13:D17))^(-0.5)*100)</f>
        <v>31.54984038</v>
      </c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>
      <c r="A7" s="18">
        <v>120.0</v>
      </c>
      <c r="B7" s="18">
        <v>27.931271881705666</v>
      </c>
      <c r="C7" s="18">
        <v>7.810171060486269</v>
      </c>
      <c r="D7" s="18">
        <v>5.068564156757708</v>
      </c>
      <c r="E7" s="18">
        <v>4.863154232748738</v>
      </c>
      <c r="F7" s="18">
        <v>8.597467772381851</v>
      </c>
      <c r="G7" s="18">
        <v>8.58645209822364</v>
      </c>
      <c r="H7" s="18"/>
      <c r="I7" s="18" t="s">
        <v>175</v>
      </c>
      <c r="J7" s="18">
        <f>50*LOG10((1+AVERAGE(E13:E17))^(-0.5)*100)</f>
        <v>37.43044816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>
      <c r="A8" s="18">
        <v>150.0</v>
      </c>
      <c r="B8" s="18">
        <v>30.84224469998868</v>
      </c>
      <c r="C8" s="18">
        <v>16.000567714299528</v>
      </c>
      <c r="D8" s="18">
        <v>13.638677578612787</v>
      </c>
      <c r="E8" s="18">
        <v>5.462455429889799</v>
      </c>
      <c r="F8" s="18">
        <v>17.956821848631023</v>
      </c>
      <c r="G8" s="18">
        <v>10.170036180442388</v>
      </c>
      <c r="H8" s="18"/>
      <c r="I8" s="18" t="s">
        <v>176</v>
      </c>
      <c r="J8" s="18">
        <f>50*LOG10((1+AVERAGE(F13:F17))^(-0.5)*100)</f>
        <v>35.06153207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18"/>
      <c r="B10" s="18"/>
      <c r="C10" s="18"/>
      <c r="D10" s="18"/>
      <c r="E10" s="18"/>
      <c r="F10" s="18"/>
      <c r="G10" s="18"/>
      <c r="H10" s="18"/>
      <c r="I10" s="35" t="s">
        <v>177</v>
      </c>
      <c r="J10" s="35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/>
      <c r="B11" s="18"/>
      <c r="C11" s="18"/>
      <c r="D11" s="18"/>
      <c r="E11" s="18"/>
      <c r="F11" s="18"/>
      <c r="G11" s="18"/>
      <c r="H11" s="18"/>
      <c r="I11" s="18" t="s">
        <v>178</v>
      </c>
      <c r="J11" s="18" t="s">
        <v>179</v>
      </c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4" t="s">
        <v>180</v>
      </c>
      <c r="B12" s="4" t="s">
        <v>181</v>
      </c>
      <c r="C12" s="4" t="s">
        <v>182</v>
      </c>
      <c r="D12" s="4" t="s">
        <v>183</v>
      </c>
      <c r="E12" s="4" t="s">
        <v>184</v>
      </c>
      <c r="F12" s="4" t="s">
        <v>185</v>
      </c>
      <c r="G12" s="18"/>
      <c r="H12" s="18"/>
      <c r="I12" s="18" t="s">
        <v>186</v>
      </c>
      <c r="J12" s="18" t="s">
        <v>187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>
        <v>45.0</v>
      </c>
      <c r="B13" s="18">
        <f t="shared" ref="B13:F13" si="1">($B4-C4)^2</f>
        <v>377.8912438</v>
      </c>
      <c r="C13" s="18">
        <f t="shared" si="1"/>
        <v>440.7723467</v>
      </c>
      <c r="D13" s="18">
        <f t="shared" si="1"/>
        <v>491.1074604</v>
      </c>
      <c r="E13" s="18">
        <f t="shared" si="1"/>
        <v>306.0919074</v>
      </c>
      <c r="F13" s="18">
        <f t="shared" si="1"/>
        <v>416.6250962</v>
      </c>
      <c r="G13" s="18"/>
      <c r="H13" s="18"/>
      <c r="I13" s="18" t="s">
        <v>188</v>
      </c>
      <c r="J13" s="18" t="s">
        <v>189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>
        <v>60.0</v>
      </c>
      <c r="B14" s="18">
        <f t="shared" ref="B14:F14" si="2">($B5-C5)^2</f>
        <v>395.7319092</v>
      </c>
      <c r="C14" s="18">
        <f t="shared" si="2"/>
        <v>485.6087498</v>
      </c>
      <c r="D14" s="18">
        <f t="shared" si="2"/>
        <v>538.5548954</v>
      </c>
      <c r="E14" s="18">
        <f t="shared" si="2"/>
        <v>380.1619922</v>
      </c>
      <c r="F14" s="18">
        <f t="shared" si="2"/>
        <v>384.3426975</v>
      </c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>
        <v>90.0</v>
      </c>
      <c r="B15" s="18">
        <f t="shared" ref="B15:F15" si="3">($B6-C6)^2</f>
        <v>382.9973119</v>
      </c>
      <c r="C15" s="18">
        <f t="shared" si="3"/>
        <v>480.2829929</v>
      </c>
      <c r="D15" s="18">
        <f t="shared" si="3"/>
        <v>524.1859139</v>
      </c>
      <c r="E15" s="18">
        <f t="shared" si="3"/>
        <v>360.2160526</v>
      </c>
      <c r="F15" s="18">
        <f t="shared" si="3"/>
        <v>371.756717</v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>
        <v>120.0</v>
      </c>
      <c r="B16" s="18">
        <f t="shared" ref="B16:F16" si="4">($B7-C7)^2</f>
        <v>404.8586983</v>
      </c>
      <c r="C16" s="18">
        <f t="shared" si="4"/>
        <v>522.7034045</v>
      </c>
      <c r="D16" s="18">
        <f t="shared" si="4"/>
        <v>532.1380519</v>
      </c>
      <c r="E16" s="18">
        <f t="shared" si="4"/>
        <v>373.7959813</v>
      </c>
      <c r="F16" s="18">
        <f t="shared" si="4"/>
        <v>374.2220525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>
        <v>150.0</v>
      </c>
      <c r="B17" s="18">
        <f t="shared" ref="B17:F17" si="5">($B8-C8)^2</f>
        <v>220.2753757</v>
      </c>
      <c r="C17" s="18">
        <f t="shared" si="5"/>
        <v>295.9627217</v>
      </c>
      <c r="D17" s="18">
        <f t="shared" si="5"/>
        <v>644.1337034</v>
      </c>
      <c r="E17" s="18">
        <f t="shared" si="5"/>
        <v>166.0341221</v>
      </c>
      <c r="F17" s="18">
        <f t="shared" si="5"/>
        <v>427.3402051</v>
      </c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J1"/>
  </mergeCells>
  <conditionalFormatting sqref="J4:J8">
    <cfRule type="cellIs" dxfId="0" priority="1" operator="lessThan">
      <formula>50</formula>
    </cfRule>
  </conditionalFormatting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38"/>
    <col customWidth="1" min="2" max="2" width="14.75"/>
    <col customWidth="1" min="3" max="3" width="10.25"/>
    <col customWidth="1" min="4" max="4" width="16.88"/>
    <col customWidth="1" min="5" max="5" width="10.38"/>
    <col customWidth="1" min="6" max="6" width="14.63"/>
    <col customWidth="1" min="7" max="7" width="17.38"/>
    <col customWidth="1" min="8" max="8" width="10.38"/>
    <col customWidth="1" min="9" max="9" width="16.13"/>
    <col customWidth="1" min="10" max="10" width="3.75"/>
    <col customWidth="1" min="11" max="11" width="14.88"/>
    <col customWidth="1" min="12" max="12" width="12.38"/>
    <col customWidth="1" min="13" max="13" width="19.38"/>
    <col customWidth="1" min="14" max="14" width="21.13"/>
    <col customWidth="1" min="15" max="15" width="14.63"/>
    <col customWidth="1" min="16" max="17" width="10.25"/>
    <col customWidth="1" min="18" max="18" width="48.0"/>
    <col customWidth="1" min="19" max="19" width="15.0"/>
    <col customWidth="1" min="20" max="20" width="28.0"/>
    <col customWidth="1" min="21" max="26" width="14.38"/>
  </cols>
  <sheetData>
    <row r="1">
      <c r="A1" s="45" t="s">
        <v>201</v>
      </c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>
      <c r="A3" s="4" t="s">
        <v>19</v>
      </c>
      <c r="B3" s="4" t="s">
        <v>202</v>
      </c>
      <c r="C3" s="4" t="s">
        <v>107</v>
      </c>
      <c r="D3" s="4" t="s">
        <v>203</v>
      </c>
      <c r="E3" s="4" t="s">
        <v>110</v>
      </c>
      <c r="F3" s="4" t="s">
        <v>112</v>
      </c>
      <c r="G3" s="4" t="s">
        <v>204</v>
      </c>
      <c r="H3" s="4" t="s">
        <v>115</v>
      </c>
      <c r="I3" s="46" t="s">
        <v>205</v>
      </c>
      <c r="J3" s="4" t="s">
        <v>119</v>
      </c>
      <c r="K3" s="4" t="s">
        <v>206</v>
      </c>
      <c r="L3" s="4" t="s">
        <v>207</v>
      </c>
      <c r="M3" s="4" t="s">
        <v>208</v>
      </c>
      <c r="N3" s="4" t="s">
        <v>209</v>
      </c>
      <c r="O3" s="4" t="s">
        <v>210</v>
      </c>
      <c r="P3" s="4" t="s">
        <v>161</v>
      </c>
      <c r="Q3" s="4" t="s">
        <v>211</v>
      </c>
      <c r="R3" s="4" t="s">
        <v>212</v>
      </c>
      <c r="S3" s="18" t="s">
        <v>95</v>
      </c>
      <c r="T3" s="47" t="s">
        <v>213</v>
      </c>
      <c r="U3" s="18"/>
      <c r="V3" s="18"/>
      <c r="W3" s="18"/>
      <c r="X3" s="18"/>
      <c r="Y3" s="18"/>
      <c r="Z3" s="18"/>
    </row>
    <row r="4">
      <c r="A4" s="5" t="s">
        <v>20</v>
      </c>
      <c r="B4" s="5">
        <f>'Physical Tests'!B4</f>
        <v>308.2</v>
      </c>
      <c r="C4" s="5">
        <f>'Physical Tests'!C4</f>
        <v>41.28801279</v>
      </c>
      <c r="D4" s="5">
        <f>'Physical Tests'!E4</f>
        <v>208.6</v>
      </c>
      <c r="E4" s="5">
        <f>'Physical Tests'!F4</f>
        <v>16.24192107</v>
      </c>
      <c r="F4" s="5" t="str">
        <f>'Physical Tests'!H4</f>
        <v>&gt;=200</v>
      </c>
      <c r="G4" s="5">
        <f>'Physical Tests'!I4</f>
        <v>8.2</v>
      </c>
      <c r="H4" s="5">
        <f>IF('Physical Tests'!K4="","",'Physical Tests'!K4)</f>
        <v>64</v>
      </c>
      <c r="I4" s="5">
        <f>IF('Physical Tests'!L4="","",'Physical Tests'!L4)</f>
        <v>37.14</v>
      </c>
      <c r="J4" s="5">
        <f>'Physical Tests'!O4</f>
        <v>5.5</v>
      </c>
      <c r="K4" s="5">
        <f>Moisture!I4</f>
        <v>19.64372042</v>
      </c>
      <c r="L4" s="5">
        <f>Moisture!K4</f>
        <v>11.45908005</v>
      </c>
      <c r="M4" s="5">
        <v>91.82648402</v>
      </c>
      <c r="N4" s="5">
        <f>Dissolution!B36</f>
        <v>30.8422447</v>
      </c>
      <c r="O4" s="49" t="str">
        <f>Kinetics!G4</f>
        <v>First-order</v>
      </c>
      <c r="P4" s="49">
        <f>Kinetics!H4</f>
        <v>0.9280233476</v>
      </c>
      <c r="Q4" s="5" t="s">
        <v>218</v>
      </c>
      <c r="R4" s="11" t="s">
        <v>219</v>
      </c>
      <c r="S4" s="18">
        <f>Densty!C14</f>
        <v>0.91875</v>
      </c>
      <c r="T4" s="47" t="s">
        <v>220</v>
      </c>
      <c r="U4" s="18"/>
      <c r="V4" s="18"/>
      <c r="W4" s="18"/>
      <c r="X4" s="18"/>
      <c r="Y4" s="18"/>
      <c r="Z4" s="18"/>
    </row>
    <row r="5">
      <c r="A5" s="5" t="s">
        <v>22</v>
      </c>
      <c r="B5" s="5">
        <f>'Physical Tests'!B5</f>
        <v>307.5</v>
      </c>
      <c r="C5" s="5">
        <f>'Physical Tests'!C5</f>
        <v>43.16055298</v>
      </c>
      <c r="D5" s="5">
        <f>'Physical Tests'!E5</f>
        <v>142.5</v>
      </c>
      <c r="E5" s="5">
        <f>'Physical Tests'!F5</f>
        <v>24.31049156</v>
      </c>
      <c r="F5" s="5" t="str">
        <f>'Physical Tests'!H5</f>
        <v>&gt;=200</v>
      </c>
      <c r="G5" s="5">
        <f>'Physical Tests'!I5</f>
        <v>9</v>
      </c>
      <c r="H5" s="5">
        <f>IF('Physical Tests'!K5="","",'Physical Tests'!K5)</f>
        <v>80</v>
      </c>
      <c r="I5" s="5">
        <f>IF('Physical Tests'!L5="","",'Physical Tests'!L5)</f>
        <v>37.64</v>
      </c>
      <c r="J5" s="5">
        <f>'Physical Tests'!O5</f>
        <v>5.7</v>
      </c>
      <c r="K5" s="5">
        <f>Moisture!I5</f>
        <v>7.239740301</v>
      </c>
      <c r="L5" s="5">
        <f>Moisture!K5</f>
        <v>35.8921296</v>
      </c>
      <c r="M5" s="5">
        <v>123.7931034</v>
      </c>
      <c r="N5" s="5">
        <f>Dissolution!C36</f>
        <v>16.00056771</v>
      </c>
      <c r="O5" s="49" t="str">
        <f>Kinetics!G5</f>
        <v>Korsmeyer-Peppas</v>
      </c>
      <c r="P5" s="49">
        <f>Kinetics!H5</f>
        <v>0.8314866101</v>
      </c>
      <c r="Q5" s="5">
        <f>'Similarity f2'!J4</f>
        <v>36.17262776</v>
      </c>
      <c r="R5" s="11" t="s">
        <v>223</v>
      </c>
      <c r="S5" s="18">
        <f>Densty!D14</f>
        <v>0.65</v>
      </c>
      <c r="T5" s="47" t="s">
        <v>220</v>
      </c>
      <c r="U5" s="18"/>
      <c r="V5" s="18"/>
      <c r="W5" s="18"/>
      <c r="X5" s="18"/>
      <c r="Y5" s="18"/>
      <c r="Z5" s="18"/>
    </row>
    <row r="6">
      <c r="A6" s="5" t="s">
        <v>25</v>
      </c>
      <c r="B6" s="5">
        <f>'Physical Tests'!B6</f>
        <v>395.6</v>
      </c>
      <c r="C6" s="5">
        <f>'Physical Tests'!C6</f>
        <v>21.0309296</v>
      </c>
      <c r="D6" s="5">
        <f>'Physical Tests'!E6</f>
        <v>212.6</v>
      </c>
      <c r="E6" s="5">
        <f>'Physical Tests'!F6</f>
        <v>15.22497947</v>
      </c>
      <c r="F6" s="5" t="str">
        <f>'Physical Tests'!H6</f>
        <v>&gt;=200</v>
      </c>
      <c r="G6" s="5">
        <f>'Physical Tests'!I6</f>
        <v>8.4</v>
      </c>
      <c r="H6" s="5">
        <f>IF('Physical Tests'!K6="","",'Physical Tests'!K6)</f>
        <v>68</v>
      </c>
      <c r="I6" s="5">
        <f>IF('Physical Tests'!L6="","",'Physical Tests'!L6)</f>
        <v>25.6</v>
      </c>
      <c r="J6" s="5">
        <f>'Physical Tests'!O6</f>
        <v>5.73</v>
      </c>
      <c r="K6" s="5">
        <f>Moisture!I6</f>
        <v>16.07591455</v>
      </c>
      <c r="L6" s="5">
        <f>Moisture!K6</f>
        <v>12.91995466</v>
      </c>
      <c r="M6" s="5">
        <v>126.2068966</v>
      </c>
      <c r="N6" s="5">
        <f>Dissolution!D36</f>
        <v>13.63867758</v>
      </c>
      <c r="O6" s="49" t="str">
        <f>Kinetics!G6</f>
        <v>Korsmeyer-Peppas</v>
      </c>
      <c r="P6" s="49">
        <f>Kinetics!H6</f>
        <v>0.7783494834</v>
      </c>
      <c r="Q6" s="5">
        <f>'Similarity f2'!J5</f>
        <v>33.76502091</v>
      </c>
      <c r="R6" s="11" t="s">
        <v>224</v>
      </c>
      <c r="S6" s="18">
        <f>Densty!E14</f>
        <v>0.4147058824</v>
      </c>
      <c r="T6" s="47" t="s">
        <v>220</v>
      </c>
      <c r="U6" s="18"/>
      <c r="V6" s="18"/>
      <c r="W6" s="18"/>
      <c r="X6" s="18"/>
      <c r="Y6" s="18"/>
      <c r="Z6" s="18"/>
    </row>
    <row r="7">
      <c r="A7" s="5" t="s">
        <v>26</v>
      </c>
      <c r="B7" s="5">
        <f>'Physical Tests'!B7</f>
        <v>237.7</v>
      </c>
      <c r="C7" s="5">
        <f>'Physical Tests'!C7</f>
        <v>17.66210633</v>
      </c>
      <c r="D7" s="5">
        <f>'Physical Tests'!E7</f>
        <v>116.6</v>
      </c>
      <c r="E7" s="5">
        <f>'Physical Tests'!F7</f>
        <v>18.37933622</v>
      </c>
      <c r="F7" s="5" t="str">
        <f>'Physical Tests'!H7</f>
        <v>&gt;=200</v>
      </c>
      <c r="G7" s="5">
        <f>'Physical Tests'!I7</f>
        <v>9.5</v>
      </c>
      <c r="H7" s="5">
        <f>IF('Physical Tests'!K7="","",'Physical Tests'!K7)</f>
        <v>90</v>
      </c>
      <c r="I7" s="5">
        <f>IF('Physical Tests'!L7="","",'Physical Tests'!L7)</f>
        <v>29.86</v>
      </c>
      <c r="J7" s="5">
        <f>'Physical Tests'!O7</f>
        <v>5.65</v>
      </c>
      <c r="K7" s="5">
        <f>Moisture!I7</f>
        <v>13.57527243</v>
      </c>
      <c r="L7" s="5">
        <f>Moisture!K7</f>
        <v>12.21006375</v>
      </c>
      <c r="M7" s="5">
        <v>77.1037182</v>
      </c>
      <c r="N7" s="5">
        <f>Dissolution!E36</f>
        <v>5.46245543</v>
      </c>
      <c r="O7" s="49" t="str">
        <f>Kinetics!G7</f>
        <v>Higuchi</v>
      </c>
      <c r="P7" s="49">
        <f>Kinetics!H7</f>
        <v>0.9722143147</v>
      </c>
      <c r="Q7" s="5">
        <f>'Similarity f2'!J6</f>
        <v>31.54984038</v>
      </c>
      <c r="R7" s="11" t="s">
        <v>225</v>
      </c>
      <c r="S7" s="18">
        <f>Densty!F14</f>
        <v>0.06215469613</v>
      </c>
      <c r="T7" s="47" t="s">
        <v>226</v>
      </c>
      <c r="U7" s="18"/>
      <c r="V7" s="18"/>
      <c r="W7" s="18"/>
      <c r="X7" s="18"/>
      <c r="Y7" s="18"/>
      <c r="Z7" s="18"/>
    </row>
    <row r="8">
      <c r="A8" s="5" t="s">
        <v>28</v>
      </c>
      <c r="B8" s="5">
        <f>'Physical Tests'!B8</f>
        <v>234.4</v>
      </c>
      <c r="C8" s="5">
        <f>'Physical Tests'!C8</f>
        <v>13.97497764</v>
      </c>
      <c r="D8" s="5">
        <f>'Physical Tests'!E8</f>
        <v>156</v>
      </c>
      <c r="E8" s="5">
        <f>'Physical Tests'!F8</f>
        <v>7.416198487</v>
      </c>
      <c r="F8" s="5" t="str">
        <f>'Physical Tests'!H8</f>
        <v>&gt;=200</v>
      </c>
      <c r="G8" s="5">
        <f>'Physical Tests'!I8</f>
        <v>7.9</v>
      </c>
      <c r="H8" s="5">
        <f>IF('Physical Tests'!K8="","",'Physical Tests'!K8)</f>
        <v>58</v>
      </c>
      <c r="I8" s="5">
        <f>IF('Physical Tests'!L8="","",'Physical Tests'!L8)</f>
        <v>41.66</v>
      </c>
      <c r="J8" s="5">
        <f>'Physical Tests'!O8</f>
        <v>6.13</v>
      </c>
      <c r="K8" s="5">
        <f>Moisture!I8</f>
        <v>14.1462704</v>
      </c>
      <c r="L8" s="5">
        <f>Moisture!K8</f>
        <v>14.38983856</v>
      </c>
      <c r="M8" s="5">
        <v>104.9575995</v>
      </c>
      <c r="N8" s="5">
        <f>Dissolution!F36</f>
        <v>17.95682185</v>
      </c>
      <c r="O8" s="49" t="str">
        <f>Kinetics!G8</f>
        <v>Zero-order</v>
      </c>
      <c r="P8" s="49">
        <f>Kinetics!H8</f>
        <v>0.736813545</v>
      </c>
      <c r="Q8" s="5">
        <f>'Similarity f2'!J7</f>
        <v>37.43044816</v>
      </c>
      <c r="R8" s="11" t="s">
        <v>224</v>
      </c>
      <c r="S8" s="18">
        <f>Densty!G14</f>
        <v>0.675</v>
      </c>
      <c r="T8" s="47" t="s">
        <v>220</v>
      </c>
      <c r="U8" s="18"/>
      <c r="V8" s="18"/>
      <c r="W8" s="18"/>
      <c r="X8" s="18"/>
      <c r="Y8" s="18"/>
      <c r="Z8" s="18"/>
    </row>
    <row r="9">
      <c r="A9" s="5" t="s">
        <v>31</v>
      </c>
      <c r="B9" s="5">
        <f>'Physical Tests'!B9</f>
        <v>280.2</v>
      </c>
      <c r="C9" s="5">
        <f>'Physical Tests'!C9</f>
        <v>21.59166506</v>
      </c>
      <c r="D9" s="5">
        <f>'Physical Tests'!E9</f>
        <v>134.6</v>
      </c>
      <c r="E9" s="5">
        <f>'Physical Tests'!F9</f>
        <v>7.436396977</v>
      </c>
      <c r="F9" s="5" t="str">
        <f>'Physical Tests'!H9</f>
        <v>&gt;=200</v>
      </c>
      <c r="G9" s="5">
        <f>'Physical Tests'!I9</f>
        <v>7.1</v>
      </c>
      <c r="H9" s="5">
        <f>IF('Physical Tests'!K9="","",'Physical Tests'!K9)</f>
        <v>42</v>
      </c>
      <c r="I9" s="5">
        <f>IF('Physical Tests'!L9="","",'Physical Tests'!L9)</f>
        <v>20.8</v>
      </c>
      <c r="J9" s="5">
        <f>'Physical Tests'!O9</f>
        <v>5.65</v>
      </c>
      <c r="K9" s="5">
        <f>Moisture!I9</f>
        <v>48.30093421</v>
      </c>
      <c r="L9" s="5">
        <f>Moisture!K9</f>
        <v>16.84782609</v>
      </c>
      <c r="M9" s="5">
        <v>85.89041096</v>
      </c>
      <c r="N9" s="5">
        <f>Dissolution!G36</f>
        <v>10.17003618</v>
      </c>
      <c r="O9" s="49" t="str">
        <f>Kinetics!G9</f>
        <v>Higuchi</v>
      </c>
      <c r="P9" s="49">
        <f>Kinetics!H9</f>
        <v>0.912544829</v>
      </c>
      <c r="Q9" s="5">
        <f>'Similarity f2'!J8</f>
        <v>35.06153207</v>
      </c>
      <c r="R9" s="11" t="s">
        <v>227</v>
      </c>
      <c r="S9" s="18">
        <f>Densty!H14</f>
        <v>0.8785714286</v>
      </c>
      <c r="T9" s="47" t="s">
        <v>220</v>
      </c>
      <c r="U9" s="18"/>
      <c r="V9" s="18"/>
      <c r="W9" s="18"/>
      <c r="X9" s="18"/>
      <c r="Y9" s="18"/>
      <c r="Z9" s="18"/>
    </row>
    <row r="10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R1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20.0"/>
    <col customWidth="1" min="3" max="3" width="44.0"/>
    <col customWidth="1" min="4" max="4" width="62.0"/>
    <col customWidth="1" min="5" max="6" width="8.75"/>
    <col customWidth="1" min="7" max="26" width="14.38"/>
  </cols>
  <sheetData>
    <row r="1">
      <c r="A1" s="50" t="s">
        <v>228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</row>
    <row r="3">
      <c r="A3" s="4" t="s">
        <v>229</v>
      </c>
      <c r="B3" s="4" t="s">
        <v>230</v>
      </c>
      <c r="C3" s="4" t="s">
        <v>231</v>
      </c>
      <c r="D3" s="4" t="s">
        <v>232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</row>
    <row r="4">
      <c r="A4" s="18" t="s">
        <v>233</v>
      </c>
      <c r="B4" s="18" t="s">
        <v>234</v>
      </c>
      <c r="C4" s="18" t="s">
        <v>235</v>
      </c>
      <c r="D4" s="18" t="s">
        <v>236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</row>
    <row r="5">
      <c r="A5" s="18" t="s">
        <v>237</v>
      </c>
      <c r="B5" s="18" t="s">
        <v>234</v>
      </c>
      <c r="C5" s="18" t="s">
        <v>238</v>
      </c>
      <c r="D5" s="18" t="s">
        <v>239</v>
      </c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</row>
    <row r="6">
      <c r="A6" s="18" t="s">
        <v>240</v>
      </c>
      <c r="B6" s="18" t="s">
        <v>241</v>
      </c>
      <c r="C6" s="18" t="s">
        <v>242</v>
      </c>
      <c r="D6" s="18" t="s">
        <v>243</v>
      </c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</row>
    <row r="7">
      <c r="A7" s="18" t="s">
        <v>244</v>
      </c>
      <c r="B7" s="18" t="s">
        <v>234</v>
      </c>
      <c r="C7" s="34" t="s">
        <v>245</v>
      </c>
      <c r="D7" s="18" t="s">
        <v>246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>
      <c r="A8" s="18" t="s">
        <v>247</v>
      </c>
      <c r="B8" s="18" t="s">
        <v>234</v>
      </c>
      <c r="C8" s="34" t="s">
        <v>248</v>
      </c>
      <c r="D8" s="18" t="s">
        <v>249</v>
      </c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>
      <c r="A9" s="18" t="s">
        <v>250</v>
      </c>
      <c r="B9" s="18" t="s">
        <v>251</v>
      </c>
      <c r="C9" s="18" t="s">
        <v>252</v>
      </c>
      <c r="D9" s="18" t="s">
        <v>253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>
      <c r="A10" s="18" t="s">
        <v>254</v>
      </c>
      <c r="B10" s="18" t="s">
        <v>255</v>
      </c>
      <c r="C10" s="18" t="s">
        <v>256</v>
      </c>
      <c r="D10" s="18" t="s">
        <v>257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>
      <c r="A11" s="18" t="s">
        <v>258</v>
      </c>
      <c r="B11" s="18" t="s">
        <v>259</v>
      </c>
      <c r="C11" s="18" t="s">
        <v>260</v>
      </c>
      <c r="D11" s="18" t="s">
        <v>261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>
      <c r="A12" s="18" t="s">
        <v>41</v>
      </c>
      <c r="B12" s="18" t="s">
        <v>262</v>
      </c>
      <c r="C12" s="18" t="s">
        <v>263</v>
      </c>
      <c r="D12" s="18" t="s">
        <v>264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>
      <c r="A13" s="18" t="s">
        <v>265</v>
      </c>
      <c r="B13" s="18" t="s">
        <v>266</v>
      </c>
      <c r="C13" s="18" t="s">
        <v>267</v>
      </c>
      <c r="D13" s="18" t="s">
        <v>268</v>
      </c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>
      <c r="A14" s="18" t="s">
        <v>269</v>
      </c>
      <c r="B14" s="18" t="s">
        <v>262</v>
      </c>
      <c r="C14" s="18" t="s">
        <v>270</v>
      </c>
      <c r="D14" s="18" t="s">
        <v>271</v>
      </c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>
      <c r="A15" s="18" t="s">
        <v>272</v>
      </c>
      <c r="B15" s="18" t="s">
        <v>273</v>
      </c>
      <c r="C15" s="18" t="s">
        <v>274</v>
      </c>
      <c r="D15" s="18" t="s">
        <v>275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conditionalFormatting sqref="B4:B20">
    <cfRule type="expression" dxfId="1" priority="1">
      <formula>OR(B4="Missing",B4="Pending one input",B4="Not finalized",B4="Flagged",B4="Partially validated")</formula>
    </cfRule>
  </conditionalFormatting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48.0"/>
    <col customWidth="1" min="3" max="3" width="22.0"/>
    <col customWidth="1" min="4" max="4" width="24.0"/>
    <col customWidth="1" min="5" max="5" width="48.0"/>
    <col customWidth="1" min="6" max="6" width="34.0"/>
    <col customWidth="1" min="7" max="7" width="42.0"/>
    <col customWidth="1" min="8" max="26" width="14.38"/>
  </cols>
  <sheetData>
    <row r="1" ht="16.5" customHeight="1">
      <c r="A1" s="51" t="s">
        <v>276</v>
      </c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ht="15.0" customHeight="1">
      <c r="A3" s="52" t="s">
        <v>121</v>
      </c>
      <c r="B3" s="52" t="s">
        <v>277</v>
      </c>
      <c r="C3" s="52" t="s">
        <v>278</v>
      </c>
      <c r="D3" s="52" t="s">
        <v>279</v>
      </c>
      <c r="E3" s="52" t="s">
        <v>280</v>
      </c>
      <c r="F3" s="52" t="s">
        <v>281</v>
      </c>
      <c r="G3" s="52" t="s">
        <v>282</v>
      </c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ht="39.0" customHeight="1">
      <c r="A4" s="5" t="s">
        <v>283</v>
      </c>
      <c r="B4" s="5" t="s">
        <v>284</v>
      </c>
      <c r="C4" s="5" t="s">
        <v>285</v>
      </c>
      <c r="D4" s="5" t="s">
        <v>286</v>
      </c>
      <c r="E4" s="5" t="s">
        <v>287</v>
      </c>
      <c r="F4" s="5" t="s">
        <v>288</v>
      </c>
      <c r="G4" s="5" t="s">
        <v>289</v>
      </c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ht="39.0" customHeight="1">
      <c r="A5" s="5" t="s">
        <v>290</v>
      </c>
      <c r="B5" s="5" t="s">
        <v>291</v>
      </c>
      <c r="C5" s="5" t="s">
        <v>285</v>
      </c>
      <c r="D5" s="5" t="s">
        <v>292</v>
      </c>
      <c r="E5" s="5" t="s">
        <v>293</v>
      </c>
      <c r="F5" s="5" t="s">
        <v>294</v>
      </c>
      <c r="G5" s="5" t="s">
        <v>289</v>
      </c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ht="39.0" customHeight="1">
      <c r="A6" s="5" t="s">
        <v>295</v>
      </c>
      <c r="B6" s="5" t="s">
        <v>296</v>
      </c>
      <c r="C6" s="5" t="s">
        <v>285</v>
      </c>
      <c r="D6" s="5" t="s">
        <v>292</v>
      </c>
      <c r="E6" s="5" t="s">
        <v>297</v>
      </c>
      <c r="F6" s="5" t="s">
        <v>294</v>
      </c>
      <c r="G6" s="5" t="s">
        <v>289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ht="26.25" customHeight="1">
      <c r="A7" s="5" t="s">
        <v>112</v>
      </c>
      <c r="B7" s="5" t="s">
        <v>298</v>
      </c>
      <c r="C7" s="5" t="s">
        <v>299</v>
      </c>
      <c r="D7" s="5" t="s">
        <v>300</v>
      </c>
      <c r="E7" s="5" t="s">
        <v>301</v>
      </c>
      <c r="F7" s="5" t="s">
        <v>302</v>
      </c>
      <c r="G7" s="5" t="s">
        <v>303</v>
      </c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ht="26.25" customHeight="1">
      <c r="A8" s="5" t="s">
        <v>247</v>
      </c>
      <c r="B8" s="5" t="s">
        <v>304</v>
      </c>
      <c r="C8" s="5" t="s">
        <v>299</v>
      </c>
      <c r="D8" s="11" t="s">
        <v>305</v>
      </c>
      <c r="E8" s="11" t="s">
        <v>306</v>
      </c>
      <c r="F8" s="5" t="s">
        <v>302</v>
      </c>
      <c r="G8" s="5" t="s">
        <v>303</v>
      </c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ht="26.25" customHeight="1">
      <c r="A9" s="5" t="s">
        <v>307</v>
      </c>
      <c r="B9" s="5" t="s">
        <v>308</v>
      </c>
      <c r="C9" s="5" t="s">
        <v>299</v>
      </c>
      <c r="D9" s="5" t="s">
        <v>292</v>
      </c>
      <c r="E9" s="5" t="s">
        <v>309</v>
      </c>
      <c r="F9" s="5" t="s">
        <v>310</v>
      </c>
      <c r="G9" s="5" t="s">
        <v>311</v>
      </c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ht="39.0" customHeight="1">
      <c r="A10" s="5" t="s">
        <v>312</v>
      </c>
      <c r="B10" s="5" t="s">
        <v>313</v>
      </c>
      <c r="C10" s="5" t="s">
        <v>285</v>
      </c>
      <c r="D10" s="5" t="s">
        <v>292</v>
      </c>
      <c r="E10" s="5" t="s">
        <v>314</v>
      </c>
      <c r="F10" s="5" t="s">
        <v>315</v>
      </c>
      <c r="G10" s="5" t="s">
        <v>316</v>
      </c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ht="26.25" customHeight="1">
      <c r="A11" s="5" t="s">
        <v>317</v>
      </c>
      <c r="B11" s="5" t="s">
        <v>318</v>
      </c>
      <c r="C11" s="5" t="s">
        <v>285</v>
      </c>
      <c r="D11" s="5" t="s">
        <v>292</v>
      </c>
      <c r="E11" s="11" t="s">
        <v>319</v>
      </c>
      <c r="F11" s="5" t="s">
        <v>320</v>
      </c>
      <c r="G11" s="5" t="s">
        <v>289</v>
      </c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ht="39.0" customHeight="1">
      <c r="A12" s="5" t="s">
        <v>321</v>
      </c>
      <c r="B12" s="5" t="s">
        <v>322</v>
      </c>
      <c r="C12" s="5" t="s">
        <v>323</v>
      </c>
      <c r="D12" s="5" t="s">
        <v>324</v>
      </c>
      <c r="E12" s="5" t="s">
        <v>325</v>
      </c>
      <c r="F12" s="5" t="s">
        <v>326</v>
      </c>
      <c r="G12" s="5" t="s">
        <v>327</v>
      </c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ht="39.0" customHeight="1">
      <c r="A13" s="5" t="s">
        <v>328</v>
      </c>
      <c r="B13" s="5" t="s">
        <v>329</v>
      </c>
      <c r="C13" s="5" t="s">
        <v>330</v>
      </c>
      <c r="D13" s="5" t="s">
        <v>331</v>
      </c>
      <c r="E13" s="5" t="s">
        <v>332</v>
      </c>
      <c r="F13" s="5" t="s">
        <v>333</v>
      </c>
      <c r="G13" s="5" t="s">
        <v>327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ht="39.0" customHeight="1">
      <c r="A14" s="5" t="s">
        <v>334</v>
      </c>
      <c r="B14" s="5" t="s">
        <v>335</v>
      </c>
      <c r="C14" s="5" t="s">
        <v>336</v>
      </c>
      <c r="D14" s="5" t="s">
        <v>337</v>
      </c>
      <c r="E14" s="5" t="s">
        <v>338</v>
      </c>
      <c r="F14" s="5" t="s">
        <v>339</v>
      </c>
      <c r="G14" s="5" t="s">
        <v>340</v>
      </c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ht="26.25" customHeight="1">
      <c r="A15" s="5" t="s">
        <v>341</v>
      </c>
      <c r="B15" s="5" t="s">
        <v>342</v>
      </c>
      <c r="C15" s="5" t="s">
        <v>330</v>
      </c>
      <c r="D15" s="5" t="s">
        <v>343</v>
      </c>
      <c r="E15" s="5" t="s">
        <v>344</v>
      </c>
      <c r="F15" s="5" t="s">
        <v>345</v>
      </c>
      <c r="G15" s="5" t="s">
        <v>346</v>
      </c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2.0"/>
    <col customWidth="1" min="2" max="2" width="28.0"/>
    <col customWidth="1" min="3" max="3" width="24.0"/>
    <col customWidth="1" min="4" max="4" width="32.0"/>
    <col customWidth="1" min="5" max="5" width="34.0"/>
    <col customWidth="1" min="6" max="6" width="38.0"/>
    <col customWidth="1" min="7" max="7" width="46.0"/>
    <col customWidth="1" min="8" max="26" width="14.38"/>
  </cols>
  <sheetData>
    <row r="1" ht="16.5" customHeight="1">
      <c r="A1" s="51" t="s">
        <v>347</v>
      </c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ht="15.0" customHeight="1">
      <c r="A3" s="52" t="s">
        <v>144</v>
      </c>
      <c r="B3" s="52" t="s">
        <v>348</v>
      </c>
      <c r="C3" s="52" t="s">
        <v>1</v>
      </c>
      <c r="D3" s="52" t="s">
        <v>349</v>
      </c>
      <c r="E3" s="52" t="s">
        <v>350</v>
      </c>
      <c r="F3" s="52" t="s">
        <v>351</v>
      </c>
      <c r="G3" s="52" t="s">
        <v>352</v>
      </c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ht="26.25" customHeight="1">
      <c r="A4" s="5" t="s">
        <v>353</v>
      </c>
      <c r="B4" s="5" t="s">
        <v>354</v>
      </c>
      <c r="C4" s="5" t="s">
        <v>295</v>
      </c>
      <c r="D4" s="5" t="s">
        <v>355</v>
      </c>
      <c r="E4" s="5" t="s">
        <v>356</v>
      </c>
      <c r="F4" s="5" t="s">
        <v>357</v>
      </c>
      <c r="G4" s="5" t="s">
        <v>316</v>
      </c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ht="15.0" customHeight="1">
      <c r="A5" s="5" t="s">
        <v>353</v>
      </c>
      <c r="B5" s="5" t="s">
        <v>354</v>
      </c>
      <c r="C5" s="5" t="s">
        <v>358</v>
      </c>
      <c r="D5" s="5" t="s">
        <v>359</v>
      </c>
      <c r="E5" s="5" t="s">
        <v>360</v>
      </c>
      <c r="F5" s="5" t="s">
        <v>361</v>
      </c>
      <c r="G5" s="5" t="s">
        <v>316</v>
      </c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ht="26.25" customHeight="1">
      <c r="A6" s="5" t="s">
        <v>353</v>
      </c>
      <c r="B6" s="5" t="s">
        <v>354</v>
      </c>
      <c r="C6" s="5" t="s">
        <v>362</v>
      </c>
      <c r="D6" s="5" t="s">
        <v>363</v>
      </c>
      <c r="E6" s="5" t="s">
        <v>364</v>
      </c>
      <c r="F6" s="5" t="s">
        <v>365</v>
      </c>
      <c r="G6" s="5" t="s">
        <v>316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ht="15.0" customHeight="1">
      <c r="A7" s="5" t="s">
        <v>366</v>
      </c>
      <c r="B7" s="5" t="s">
        <v>367</v>
      </c>
      <c r="C7" s="5" t="s">
        <v>295</v>
      </c>
      <c r="D7" s="5" t="s">
        <v>368</v>
      </c>
      <c r="E7" s="5" t="s">
        <v>369</v>
      </c>
      <c r="F7" s="5" t="s">
        <v>370</v>
      </c>
      <c r="G7" s="5" t="s">
        <v>311</v>
      </c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ht="26.25" customHeight="1">
      <c r="A8" s="5" t="s">
        <v>366</v>
      </c>
      <c r="B8" s="5" t="s">
        <v>367</v>
      </c>
      <c r="C8" s="5" t="s">
        <v>112</v>
      </c>
      <c r="D8" s="5" t="s">
        <v>371</v>
      </c>
      <c r="E8" s="5" t="s">
        <v>372</v>
      </c>
      <c r="F8" s="5" t="s">
        <v>373</v>
      </c>
      <c r="G8" s="5" t="s">
        <v>311</v>
      </c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ht="26.25" customHeight="1">
      <c r="A9" s="5" t="s">
        <v>366</v>
      </c>
      <c r="B9" s="5" t="s">
        <v>367</v>
      </c>
      <c r="C9" s="5" t="s">
        <v>307</v>
      </c>
      <c r="D9" s="5" t="s">
        <v>374</v>
      </c>
      <c r="E9" s="5" t="s">
        <v>375</v>
      </c>
      <c r="F9" s="5" t="s">
        <v>376</v>
      </c>
      <c r="G9" s="5" t="s">
        <v>311</v>
      </c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ht="15.0" customHeight="1">
      <c r="A10" s="5" t="s">
        <v>366</v>
      </c>
      <c r="B10" s="5" t="s">
        <v>367</v>
      </c>
      <c r="C10" s="5" t="s">
        <v>362</v>
      </c>
      <c r="D10" s="5" t="s">
        <v>377</v>
      </c>
      <c r="E10" s="5" t="s">
        <v>378</v>
      </c>
      <c r="F10" s="5" t="s">
        <v>379</v>
      </c>
      <c r="G10" s="5" t="s">
        <v>311</v>
      </c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ht="26.25" customHeight="1">
      <c r="A11" s="5" t="s">
        <v>366</v>
      </c>
      <c r="B11" s="5" t="s">
        <v>367</v>
      </c>
      <c r="C11" s="5" t="s">
        <v>380</v>
      </c>
      <c r="D11" s="5" t="s">
        <v>381</v>
      </c>
      <c r="E11" s="5" t="s">
        <v>382</v>
      </c>
      <c r="F11" s="5" t="s">
        <v>383</v>
      </c>
      <c r="G11" s="5" t="s">
        <v>311</v>
      </c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ht="26.25" customHeight="1">
      <c r="A12" s="5" t="s">
        <v>366</v>
      </c>
      <c r="B12" s="5" t="s">
        <v>367</v>
      </c>
      <c r="C12" s="5" t="s">
        <v>247</v>
      </c>
      <c r="D12" s="5" t="s">
        <v>384</v>
      </c>
      <c r="E12" s="5" t="s">
        <v>385</v>
      </c>
      <c r="F12" s="5" t="s">
        <v>386</v>
      </c>
      <c r="G12" s="5" t="s">
        <v>311</v>
      </c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ht="39.0" customHeight="1">
      <c r="A13" s="5" t="s">
        <v>387</v>
      </c>
      <c r="B13" s="5" t="s">
        <v>388</v>
      </c>
      <c r="C13" s="5" t="s">
        <v>389</v>
      </c>
      <c r="D13" s="5" t="s">
        <v>390</v>
      </c>
      <c r="E13" s="5" t="s">
        <v>391</v>
      </c>
      <c r="F13" s="5" t="s">
        <v>392</v>
      </c>
      <c r="G13" s="5" t="s">
        <v>303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34.0"/>
    <col customWidth="1" min="3" max="3" width="12.0"/>
    <col customWidth="1" min="4" max="4" width="34.0"/>
    <col customWidth="1" min="5" max="5" width="12.0"/>
    <col customWidth="1" min="6" max="6" width="34.0"/>
    <col customWidth="1" min="7" max="7" width="16.0"/>
    <col customWidth="1" min="8" max="8" width="32.0"/>
    <col customWidth="1" min="9" max="9" width="10.0"/>
    <col customWidth="1" min="10" max="10" width="30.0"/>
    <col customWidth="1" min="11" max="11" width="14.0"/>
    <col customWidth="1" min="12" max="12" width="34.0"/>
    <col customWidth="1" min="13" max="13" width="14.0"/>
    <col customWidth="1" min="14" max="14" width="34.0"/>
    <col customWidth="1" min="15" max="15" width="14.0"/>
    <col customWidth="1" min="16" max="16" width="34.0"/>
    <col customWidth="1" min="17" max="18" width="14.0"/>
    <col customWidth="1" min="19" max="19" width="38.0"/>
    <col customWidth="1" min="20" max="20" width="16.0"/>
    <col customWidth="1" min="21" max="21" width="38.0"/>
    <col customWidth="1" min="22" max="22" width="12.0"/>
    <col customWidth="1" min="23" max="23" width="38.0"/>
    <col customWidth="1" min="24" max="24" width="52.0"/>
    <col customWidth="1" min="25" max="25" width="16.0"/>
    <col customWidth="1" min="26" max="26" width="14.0"/>
    <col customWidth="1" min="27" max="27" width="30.0"/>
  </cols>
  <sheetData>
    <row r="1" ht="16.5" customHeight="1">
      <c r="A1" s="51" t="s">
        <v>394</v>
      </c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ht="26.25" customHeight="1">
      <c r="A3" s="52" t="s">
        <v>19</v>
      </c>
      <c r="B3" s="52" t="s">
        <v>395</v>
      </c>
      <c r="C3" s="52" t="s">
        <v>108</v>
      </c>
      <c r="D3" s="52" t="s">
        <v>397</v>
      </c>
      <c r="E3" s="52" t="s">
        <v>111</v>
      </c>
      <c r="F3" s="52" t="s">
        <v>400</v>
      </c>
      <c r="G3" s="52" t="s">
        <v>112</v>
      </c>
      <c r="H3" s="52" t="s">
        <v>403</v>
      </c>
      <c r="I3" s="52" t="s">
        <v>119</v>
      </c>
      <c r="J3" s="52" t="s">
        <v>406</v>
      </c>
      <c r="K3" s="52" t="s">
        <v>206</v>
      </c>
      <c r="L3" s="52" t="s">
        <v>407</v>
      </c>
      <c r="M3" s="52" t="s">
        <v>207</v>
      </c>
      <c r="N3" s="52" t="s">
        <v>408</v>
      </c>
      <c r="O3" s="53" t="s">
        <v>409</v>
      </c>
      <c r="P3" s="52" t="s">
        <v>416</v>
      </c>
      <c r="Q3" s="52" t="s">
        <v>417</v>
      </c>
      <c r="R3" s="52" t="s">
        <v>418</v>
      </c>
      <c r="S3" s="52" t="s">
        <v>419</v>
      </c>
      <c r="T3" s="52" t="s">
        <v>209</v>
      </c>
      <c r="U3" s="52" t="s">
        <v>420</v>
      </c>
      <c r="V3" s="52" t="s">
        <v>211</v>
      </c>
      <c r="W3" s="52" t="s">
        <v>421</v>
      </c>
      <c r="X3" s="52" t="s">
        <v>422</v>
      </c>
      <c r="Y3" s="52" t="s">
        <v>423</v>
      </c>
      <c r="Z3" s="18" t="s">
        <v>95</v>
      </c>
      <c r="AA3" s="54" t="s">
        <v>213</v>
      </c>
    </row>
    <row r="4" ht="39.0" customHeight="1">
      <c r="A4" s="5" t="s">
        <v>20</v>
      </c>
      <c r="B4" s="5" t="s">
        <v>430</v>
      </c>
      <c r="C4" s="55">
        <f>'Physical Tests'!D4</f>
        <v>13.39649993</v>
      </c>
      <c r="D4" s="5" t="s">
        <v>437</v>
      </c>
      <c r="E4" s="55">
        <f>'Physical Tests'!G4</f>
        <v>7.786155833</v>
      </c>
      <c r="F4" s="5" t="s">
        <v>439</v>
      </c>
      <c r="G4" s="5" t="str">
        <f>'Final Summary'!F4</f>
        <v>&gt;=200</v>
      </c>
      <c r="H4" s="5" t="s">
        <v>441</v>
      </c>
      <c r="I4" s="55">
        <f>'Final Summary'!J4</f>
        <v>5.5</v>
      </c>
      <c r="J4" s="5" t="s">
        <v>447</v>
      </c>
      <c r="K4" s="55">
        <f>'Final Summary'!K4</f>
        <v>19.64372042</v>
      </c>
      <c r="L4" s="5" t="s">
        <v>448</v>
      </c>
      <c r="M4" s="55">
        <f>'Final Summary'!L4</f>
        <v>11.45908005</v>
      </c>
      <c r="N4" s="5" t="s">
        <v>451</v>
      </c>
      <c r="O4" s="55">
        <f>'Final Summary'!I4</f>
        <v>37.14</v>
      </c>
      <c r="P4" s="5" t="s">
        <v>456</v>
      </c>
      <c r="Q4" s="55">
        <f>'Final Summary'!M4</f>
        <v>91.82648402</v>
      </c>
      <c r="R4" s="55">
        <f t="shared" ref="R4:R9" si="1">ABS(Q4-100)</f>
        <v>8.17351598</v>
      </c>
      <c r="S4" s="5" t="s">
        <v>457</v>
      </c>
      <c r="T4" s="55">
        <f>'Final Summary'!N4</f>
        <v>30.8422447</v>
      </c>
      <c r="U4" s="5" t="s">
        <v>460</v>
      </c>
      <c r="V4" s="5" t="s">
        <v>218</v>
      </c>
      <c r="W4" s="5" t="s">
        <v>218</v>
      </c>
      <c r="X4" s="5" t="s">
        <v>464</v>
      </c>
      <c r="Y4" s="5" t="s">
        <v>218</v>
      </c>
      <c r="Z4" s="18">
        <f>Densty!C14</f>
        <v>0.91875</v>
      </c>
      <c r="AA4" s="54" t="s">
        <v>220</v>
      </c>
    </row>
    <row r="5" ht="39.0" customHeight="1">
      <c r="A5" s="5" t="s">
        <v>22</v>
      </c>
      <c r="B5" s="5" t="s">
        <v>465</v>
      </c>
      <c r="C5" s="55">
        <f>'Physical Tests'!D5</f>
        <v>14.03595219</v>
      </c>
      <c r="D5" s="5" t="s">
        <v>437</v>
      </c>
      <c r="E5" s="55">
        <f>'Physical Tests'!G5</f>
        <v>17.05999408</v>
      </c>
      <c r="F5" s="11" t="s">
        <v>466</v>
      </c>
      <c r="G5" s="5" t="str">
        <f>'Final Summary'!F5</f>
        <v>&gt;=200</v>
      </c>
      <c r="H5" s="5" t="s">
        <v>441</v>
      </c>
      <c r="I5" s="55">
        <f>'Final Summary'!J5</f>
        <v>5.7</v>
      </c>
      <c r="J5" s="5" t="s">
        <v>447</v>
      </c>
      <c r="K5" s="55">
        <f>'Final Summary'!K5</f>
        <v>7.239740301</v>
      </c>
      <c r="L5" s="5" t="s">
        <v>467</v>
      </c>
      <c r="M5" s="55">
        <f>'Final Summary'!L5</f>
        <v>35.8921296</v>
      </c>
      <c r="N5" s="5" t="s">
        <v>468</v>
      </c>
      <c r="O5" s="55">
        <f>'Final Summary'!I5</f>
        <v>37.64</v>
      </c>
      <c r="P5" s="11" t="s">
        <v>469</v>
      </c>
      <c r="Q5" s="55">
        <f>'Final Summary'!M5</f>
        <v>123.7931034</v>
      </c>
      <c r="R5" s="55">
        <f t="shared" si="1"/>
        <v>23.7931034</v>
      </c>
      <c r="S5" s="5" t="s">
        <v>470</v>
      </c>
      <c r="T5" s="55">
        <f>'Final Summary'!N5</f>
        <v>16.00056771</v>
      </c>
      <c r="U5" s="5" t="s">
        <v>471</v>
      </c>
      <c r="V5" s="55">
        <f>'Final Summary'!Q5</f>
        <v>36.17262776</v>
      </c>
      <c r="W5" s="5" t="s">
        <v>472</v>
      </c>
      <c r="X5" s="5" t="s">
        <v>473</v>
      </c>
      <c r="Y5" s="5" t="s">
        <v>474</v>
      </c>
      <c r="Z5" s="18">
        <f>Densty!D14</f>
        <v>0.65</v>
      </c>
      <c r="AA5" s="54" t="s">
        <v>220</v>
      </c>
    </row>
    <row r="6" ht="39.0" customHeight="1">
      <c r="A6" s="5" t="s">
        <v>25</v>
      </c>
      <c r="B6" s="5" t="s">
        <v>465</v>
      </c>
      <c r="C6" s="55">
        <f>'Physical Tests'!D6</f>
        <v>5.316210719</v>
      </c>
      <c r="D6" s="5" t="s">
        <v>475</v>
      </c>
      <c r="E6" s="55">
        <f>'Physical Tests'!G6</f>
        <v>7.161326187</v>
      </c>
      <c r="F6" s="5" t="s">
        <v>439</v>
      </c>
      <c r="G6" s="5" t="str">
        <f>'Final Summary'!F6</f>
        <v>&gt;=200</v>
      </c>
      <c r="H6" s="5" t="s">
        <v>441</v>
      </c>
      <c r="I6" s="55">
        <f>'Final Summary'!J6</f>
        <v>5.73</v>
      </c>
      <c r="J6" s="5" t="s">
        <v>447</v>
      </c>
      <c r="K6" s="55">
        <f>'Final Summary'!K6</f>
        <v>16.07591455</v>
      </c>
      <c r="L6" s="5" t="s">
        <v>448</v>
      </c>
      <c r="M6" s="55">
        <f>'Final Summary'!L6</f>
        <v>12.91995466</v>
      </c>
      <c r="N6" s="5" t="s">
        <v>451</v>
      </c>
      <c r="O6" s="55">
        <f>'Final Summary'!I6</f>
        <v>25.6</v>
      </c>
      <c r="P6" s="5" t="s">
        <v>476</v>
      </c>
      <c r="Q6" s="55">
        <f>'Final Summary'!M6</f>
        <v>126.2068966</v>
      </c>
      <c r="R6" s="55">
        <f t="shared" si="1"/>
        <v>26.2068966</v>
      </c>
      <c r="S6" s="5" t="s">
        <v>470</v>
      </c>
      <c r="T6" s="55">
        <f>'Final Summary'!N6</f>
        <v>13.63867758</v>
      </c>
      <c r="U6" s="5" t="s">
        <v>477</v>
      </c>
      <c r="V6" s="55">
        <f>'Final Summary'!Q6</f>
        <v>33.76502091</v>
      </c>
      <c r="W6" s="5" t="s">
        <v>472</v>
      </c>
      <c r="X6" s="5" t="s">
        <v>478</v>
      </c>
      <c r="Y6" s="5" t="s">
        <v>479</v>
      </c>
      <c r="Z6" s="18">
        <f>Densty!E14</f>
        <v>0.4147058824</v>
      </c>
      <c r="AA6" s="54" t="s">
        <v>220</v>
      </c>
    </row>
    <row r="7" ht="39.0" customHeight="1">
      <c r="A7" s="5" t="s">
        <v>26</v>
      </c>
      <c r="B7" s="5" t="s">
        <v>465</v>
      </c>
      <c r="C7" s="55">
        <f>'Physical Tests'!D7</f>
        <v>7.430419154</v>
      </c>
      <c r="D7" s="5" t="s">
        <v>475</v>
      </c>
      <c r="E7" s="55">
        <f>'Physical Tests'!G7</f>
        <v>15.76272403</v>
      </c>
      <c r="F7" s="5" t="s">
        <v>439</v>
      </c>
      <c r="G7" s="5" t="str">
        <f>'Final Summary'!F7</f>
        <v>&gt;=200</v>
      </c>
      <c r="H7" s="5" t="s">
        <v>441</v>
      </c>
      <c r="I7" s="55">
        <f>'Final Summary'!J7</f>
        <v>5.65</v>
      </c>
      <c r="J7" s="5" t="s">
        <v>447</v>
      </c>
      <c r="K7" s="55">
        <f>'Final Summary'!K7</f>
        <v>13.57527243</v>
      </c>
      <c r="L7" s="5" t="s">
        <v>448</v>
      </c>
      <c r="M7" s="55">
        <f>'Final Summary'!L7</f>
        <v>12.21006375</v>
      </c>
      <c r="N7" s="5" t="s">
        <v>451</v>
      </c>
      <c r="O7" s="55">
        <f>'Final Summary'!I7</f>
        <v>29.86</v>
      </c>
      <c r="P7" s="5" t="s">
        <v>480</v>
      </c>
      <c r="Q7" s="55">
        <f>'Final Summary'!M7</f>
        <v>77.1037182</v>
      </c>
      <c r="R7" s="55">
        <f t="shared" si="1"/>
        <v>22.8962818</v>
      </c>
      <c r="S7" s="5" t="s">
        <v>481</v>
      </c>
      <c r="T7" s="55">
        <f>'Final Summary'!N7</f>
        <v>5.46245543</v>
      </c>
      <c r="U7" s="5" t="s">
        <v>482</v>
      </c>
      <c r="V7" s="55">
        <f>'Final Summary'!Q7</f>
        <v>31.54984038</v>
      </c>
      <c r="W7" s="5" t="s">
        <v>472</v>
      </c>
      <c r="X7" s="5" t="s">
        <v>483</v>
      </c>
      <c r="Y7" s="5" t="s">
        <v>474</v>
      </c>
      <c r="Z7" s="18">
        <f>Densty!F14</f>
        <v>0.06215469613</v>
      </c>
      <c r="AA7" s="54" t="s">
        <v>226</v>
      </c>
    </row>
    <row r="8" ht="52.5" customHeight="1">
      <c r="A8" s="5" t="s">
        <v>28</v>
      </c>
      <c r="B8" s="5" t="s">
        <v>465</v>
      </c>
      <c r="C8" s="55">
        <f>'Physical Tests'!D8</f>
        <v>5.962021177</v>
      </c>
      <c r="D8" s="5" t="s">
        <v>475</v>
      </c>
      <c r="E8" s="55">
        <f>'Physical Tests'!G8</f>
        <v>4.753973389</v>
      </c>
      <c r="F8" s="5" t="s">
        <v>484</v>
      </c>
      <c r="G8" s="5" t="str">
        <f>'Final Summary'!F8</f>
        <v>&gt;=200</v>
      </c>
      <c r="H8" s="5" t="s">
        <v>441</v>
      </c>
      <c r="I8" s="55">
        <f>'Final Summary'!J8</f>
        <v>6.13</v>
      </c>
      <c r="J8" s="5" t="s">
        <v>447</v>
      </c>
      <c r="K8" s="55">
        <f>'Final Summary'!K8</f>
        <v>14.1462704</v>
      </c>
      <c r="L8" s="5" t="s">
        <v>448</v>
      </c>
      <c r="M8" s="55">
        <f>'Final Summary'!L8</f>
        <v>14.38983856</v>
      </c>
      <c r="N8" s="5" t="s">
        <v>451</v>
      </c>
      <c r="O8" s="55">
        <f>'Final Summary'!I8</f>
        <v>41.66</v>
      </c>
      <c r="P8" s="5" t="s">
        <v>485</v>
      </c>
      <c r="Q8" s="55">
        <f>'Final Summary'!M8</f>
        <v>104.9575995</v>
      </c>
      <c r="R8" s="55">
        <f t="shared" si="1"/>
        <v>4.9575995</v>
      </c>
      <c r="S8" s="5" t="s">
        <v>486</v>
      </c>
      <c r="T8" s="55">
        <f>'Final Summary'!N8</f>
        <v>17.95682185</v>
      </c>
      <c r="U8" s="5" t="s">
        <v>487</v>
      </c>
      <c r="V8" s="55">
        <f>'Final Summary'!Q8</f>
        <v>37.43044816</v>
      </c>
      <c r="W8" s="5" t="s">
        <v>472</v>
      </c>
      <c r="X8" s="5" t="s">
        <v>488</v>
      </c>
      <c r="Y8" s="5" t="s">
        <v>489</v>
      </c>
      <c r="Z8" s="18">
        <f>Densty!G14</f>
        <v>0.675</v>
      </c>
      <c r="AA8" s="54" t="s">
        <v>220</v>
      </c>
    </row>
    <row r="9" ht="39.0" customHeight="1">
      <c r="A9" s="5" t="s">
        <v>31</v>
      </c>
      <c r="B9" s="5" t="s">
        <v>465</v>
      </c>
      <c r="C9" s="55">
        <f>'Physical Tests'!D9</f>
        <v>7.705804803</v>
      </c>
      <c r="D9" s="5" t="s">
        <v>475</v>
      </c>
      <c r="E9" s="55">
        <f>'Physical Tests'!G9</f>
        <v>5.524812019</v>
      </c>
      <c r="F9" s="5" t="s">
        <v>439</v>
      </c>
      <c r="G9" s="5" t="str">
        <f>'Final Summary'!F9</f>
        <v>&gt;=200</v>
      </c>
      <c r="H9" s="5" t="s">
        <v>441</v>
      </c>
      <c r="I9" s="55">
        <f>'Final Summary'!J9</f>
        <v>5.65</v>
      </c>
      <c r="J9" s="5" t="s">
        <v>447</v>
      </c>
      <c r="K9" s="55">
        <f>'Final Summary'!K9</f>
        <v>48.30093421</v>
      </c>
      <c r="L9" s="5" t="s">
        <v>490</v>
      </c>
      <c r="M9" s="55">
        <f>'Final Summary'!L9</f>
        <v>16.84782609</v>
      </c>
      <c r="N9" s="5" t="s">
        <v>451</v>
      </c>
      <c r="O9" s="55">
        <f>'Final Summary'!I9</f>
        <v>20.8</v>
      </c>
      <c r="P9" s="5" t="s">
        <v>491</v>
      </c>
      <c r="Q9" s="55">
        <f>'Final Summary'!M9</f>
        <v>85.89041096</v>
      </c>
      <c r="R9" s="55">
        <f t="shared" si="1"/>
        <v>14.10958904</v>
      </c>
      <c r="S9" s="5" t="s">
        <v>492</v>
      </c>
      <c r="T9" s="55">
        <f>'Final Summary'!N9</f>
        <v>10.17003618</v>
      </c>
      <c r="U9" s="5" t="s">
        <v>493</v>
      </c>
      <c r="V9" s="55">
        <f>'Final Summary'!Q9</f>
        <v>35.06153207</v>
      </c>
      <c r="W9" s="5" t="s">
        <v>472</v>
      </c>
      <c r="X9" s="5" t="s">
        <v>494</v>
      </c>
      <c r="Y9" s="5" t="s">
        <v>479</v>
      </c>
      <c r="Z9" s="18">
        <f>Densty!H14</f>
        <v>0.8785714286</v>
      </c>
      <c r="AA9" s="54" t="s">
        <v>220</v>
      </c>
    </row>
    <row r="10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Y1"/>
  </mergeCells>
  <conditionalFormatting sqref="C4:C9">
    <cfRule type="colorScale" priority="1">
      <colorScale>
        <cfvo type="min"/>
        <cfvo type="percentile" val="50"/>
        <cfvo type="max"/>
        <color rgb="FFDCFCE7"/>
        <color rgb="FFFEF3C7"/>
        <color rgb="FFFECACA"/>
      </colorScale>
    </cfRule>
  </conditionalFormatting>
  <conditionalFormatting sqref="E4:E9">
    <cfRule type="colorScale" priority="2">
      <colorScale>
        <cfvo type="min"/>
        <cfvo type="percentile" val="50"/>
        <cfvo type="max"/>
        <color rgb="FFDCFCE7"/>
        <color rgb="FFFEF3C7"/>
        <color rgb="FFFECACA"/>
      </colorScale>
    </cfRule>
  </conditionalFormatting>
  <conditionalFormatting sqref="R4:R9">
    <cfRule type="colorScale" priority="3">
      <colorScale>
        <cfvo type="min"/>
        <cfvo type="percentile" val="50"/>
        <cfvo type="max"/>
        <color rgb="FFDCFCE7"/>
        <color rgb="FFFEF3C7"/>
        <color rgb="FFFECACA"/>
      </colorScale>
    </cfRule>
  </conditionalFormatting>
  <conditionalFormatting sqref="K4:K9">
    <cfRule type="colorScale" priority="4">
      <colorScale>
        <cfvo type="min"/>
        <cfvo type="percentile" val="50"/>
        <cfvo type="max"/>
        <color rgb="FFDCFCE7"/>
        <color rgb="FFFEF3C7"/>
        <color rgb="FFFECACA"/>
      </colorScale>
    </cfRule>
  </conditionalFormatting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26.0"/>
    <col customWidth="1" min="3" max="4" width="42.0"/>
    <col customWidth="1" min="5" max="6" width="26.0"/>
    <col customWidth="1" min="7" max="7" width="48.0"/>
    <col customWidth="1" min="8" max="8" width="20.0"/>
    <col customWidth="1" min="9" max="26" width="14.38"/>
  </cols>
  <sheetData>
    <row r="1" ht="16.5" customHeight="1">
      <c r="A1" s="51" t="s">
        <v>393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ht="15.0" customHeight="1">
      <c r="A3" s="52" t="s">
        <v>19</v>
      </c>
      <c r="B3" s="52" t="s">
        <v>396</v>
      </c>
      <c r="C3" s="52" t="s">
        <v>398</v>
      </c>
      <c r="D3" s="52" t="s">
        <v>399</v>
      </c>
      <c r="E3" s="52" t="s">
        <v>401</v>
      </c>
      <c r="F3" s="52" t="s">
        <v>402</v>
      </c>
      <c r="G3" s="52" t="s">
        <v>404</v>
      </c>
      <c r="H3" s="52" t="s">
        <v>405</v>
      </c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ht="26.25" customHeight="1">
      <c r="A4" s="5" t="s">
        <v>20</v>
      </c>
      <c r="B4" s="5" t="s">
        <v>410</v>
      </c>
      <c r="C4" s="5" t="s">
        <v>411</v>
      </c>
      <c r="D4" s="5" t="s">
        <v>412</v>
      </c>
      <c r="E4" s="5" t="s">
        <v>413</v>
      </c>
      <c r="F4" s="5" t="s">
        <v>414</v>
      </c>
      <c r="G4" s="5" t="s">
        <v>415</v>
      </c>
      <c r="H4" s="5" t="s">
        <v>218</v>
      </c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ht="26.25" customHeight="1">
      <c r="A5" s="5" t="s">
        <v>22</v>
      </c>
      <c r="B5" s="5" t="s">
        <v>424</v>
      </c>
      <c r="C5" s="5" t="s">
        <v>425</v>
      </c>
      <c r="D5" s="5" t="s">
        <v>426</v>
      </c>
      <c r="E5" s="5" t="s">
        <v>427</v>
      </c>
      <c r="F5" s="5" t="s">
        <v>428</v>
      </c>
      <c r="G5" s="5" t="s">
        <v>429</v>
      </c>
      <c r="H5" s="5" t="s">
        <v>431</v>
      </c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ht="26.25" customHeight="1">
      <c r="A6" s="5" t="s">
        <v>25</v>
      </c>
      <c r="B6" s="5" t="s">
        <v>424</v>
      </c>
      <c r="C6" s="5" t="s">
        <v>432</v>
      </c>
      <c r="D6" s="5" t="s">
        <v>433</v>
      </c>
      <c r="E6" s="5" t="s">
        <v>434</v>
      </c>
      <c r="F6" s="5" t="s">
        <v>435</v>
      </c>
      <c r="G6" s="5" t="s">
        <v>436</v>
      </c>
      <c r="H6" s="5" t="s">
        <v>438</v>
      </c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ht="26.25" customHeight="1">
      <c r="A7" s="5" t="s">
        <v>26</v>
      </c>
      <c r="B7" s="5" t="s">
        <v>424</v>
      </c>
      <c r="C7" s="5" t="s">
        <v>440</v>
      </c>
      <c r="D7" s="5" t="s">
        <v>442</v>
      </c>
      <c r="E7" s="5" t="s">
        <v>443</v>
      </c>
      <c r="F7" s="5" t="s">
        <v>444</v>
      </c>
      <c r="G7" s="5" t="s">
        <v>445</v>
      </c>
      <c r="H7" s="5" t="s">
        <v>446</v>
      </c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ht="39.0" customHeight="1">
      <c r="A8" s="5" t="s">
        <v>28</v>
      </c>
      <c r="B8" s="5" t="s">
        <v>424</v>
      </c>
      <c r="C8" s="5" t="s">
        <v>449</v>
      </c>
      <c r="D8" s="11" t="s">
        <v>450</v>
      </c>
      <c r="E8" s="5" t="s">
        <v>452</v>
      </c>
      <c r="F8" s="5" t="s">
        <v>453</v>
      </c>
      <c r="G8" s="5" t="s">
        <v>454</v>
      </c>
      <c r="H8" s="5" t="s">
        <v>455</v>
      </c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ht="26.25" customHeight="1">
      <c r="A9" s="5" t="s">
        <v>31</v>
      </c>
      <c r="B9" s="5" t="s">
        <v>424</v>
      </c>
      <c r="C9" s="5" t="s">
        <v>458</v>
      </c>
      <c r="D9" s="5" t="s">
        <v>459</v>
      </c>
      <c r="E9" s="5" t="s">
        <v>461</v>
      </c>
      <c r="F9" s="5" t="s">
        <v>462</v>
      </c>
      <c r="G9" s="5" t="s">
        <v>463</v>
      </c>
      <c r="H9" s="5" t="s">
        <v>438</v>
      </c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conditionalFormatting sqref="H4:H9">
    <cfRule type="expression" dxfId="2" priority="1">
      <formula>H4="Leading candidate"</formula>
    </cfRule>
  </conditionalFormatting>
  <conditionalFormatting sqref="H4:H9">
    <cfRule type="expression" dxfId="3" priority="2">
      <formula>H4="Comparator"</formula>
    </cfRule>
  </conditionalFormatting>
  <conditionalFormatting sqref="H4:H9">
    <cfRule type="expression" dxfId="4" priority="3">
      <formula>H4="Not preferred"</formula>
    </cfRule>
  </conditionalFormatting>
  <conditionalFormatting sqref="H4:H9">
    <cfRule type="expression" dxfId="5" priority="4">
      <formula>H4="Needs optimization"</formula>
    </cfRule>
  </conditionalFormatting>
  <conditionalFormatting sqref="H4:H9">
    <cfRule type="expression" dxfId="6" priority="5">
      <formula>H4="Secondary candidate"</formula>
    </cfRule>
  </conditionalFormatting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6.0"/>
    <col customWidth="1" min="3" max="3" width="18.0"/>
    <col customWidth="1" min="4" max="5" width="14.0"/>
    <col customWidth="1" min="6" max="6" width="18.0"/>
    <col customWidth="1" min="7" max="7" width="14.0"/>
    <col customWidth="1" min="8" max="26" width="14.38"/>
  </cols>
  <sheetData>
    <row r="1" ht="16.5" customHeight="1">
      <c r="A1" s="51" t="s">
        <v>495</v>
      </c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ht="15.0" customHeight="1">
      <c r="A3" s="52" t="s">
        <v>19</v>
      </c>
      <c r="B3" s="52" t="s">
        <v>417</v>
      </c>
      <c r="C3" s="52" t="s">
        <v>496</v>
      </c>
      <c r="D3" s="52" t="s">
        <v>108</v>
      </c>
      <c r="E3" s="52" t="s">
        <v>111</v>
      </c>
      <c r="F3" s="52" t="s">
        <v>206</v>
      </c>
      <c r="G3" s="53" t="s">
        <v>497</v>
      </c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ht="15.0" customHeight="1">
      <c r="A4" s="5" t="s">
        <v>20</v>
      </c>
      <c r="B4" s="55">
        <f>'Final Summary'!M4</f>
        <v>91.82648402</v>
      </c>
      <c r="C4" s="55">
        <f>'Final Summary'!N4</f>
        <v>30.8422447</v>
      </c>
      <c r="D4" s="55">
        <f>'Physical Tests'!D4</f>
        <v>13.39649993</v>
      </c>
      <c r="E4" s="55">
        <f>'Physical Tests'!G4</f>
        <v>7.786155833</v>
      </c>
      <c r="F4" s="55">
        <f>'Final Summary'!K4</f>
        <v>19.64372042</v>
      </c>
      <c r="G4" s="55">
        <f>'Final Summary'!I4</f>
        <v>37.14</v>
      </c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ht="15.0" customHeight="1">
      <c r="A5" s="5" t="s">
        <v>22</v>
      </c>
      <c r="B5" s="55">
        <f>'Final Summary'!M5</f>
        <v>123.7931034</v>
      </c>
      <c r="C5" s="55">
        <f>'Final Summary'!N5</f>
        <v>16.00056771</v>
      </c>
      <c r="D5" s="55">
        <f>'Physical Tests'!D5</f>
        <v>14.03595219</v>
      </c>
      <c r="E5" s="55">
        <f>'Physical Tests'!G5</f>
        <v>17.05999408</v>
      </c>
      <c r="F5" s="55">
        <f>'Final Summary'!K5</f>
        <v>7.239740301</v>
      </c>
      <c r="G5" s="55">
        <f>'Final Summary'!I5</f>
        <v>37.64</v>
      </c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ht="15.0" customHeight="1">
      <c r="A6" s="5" t="s">
        <v>25</v>
      </c>
      <c r="B6" s="55">
        <f>'Final Summary'!M6</f>
        <v>126.2068966</v>
      </c>
      <c r="C6" s="55">
        <f>'Final Summary'!N6</f>
        <v>13.63867758</v>
      </c>
      <c r="D6" s="55">
        <f>'Physical Tests'!D6</f>
        <v>5.316210719</v>
      </c>
      <c r="E6" s="55">
        <f>'Physical Tests'!G6</f>
        <v>7.161326187</v>
      </c>
      <c r="F6" s="55">
        <f>'Final Summary'!K6</f>
        <v>16.07591455</v>
      </c>
      <c r="G6" s="55">
        <f>'Final Summary'!I6</f>
        <v>25.6</v>
      </c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ht="15.0" customHeight="1">
      <c r="A7" s="5" t="s">
        <v>26</v>
      </c>
      <c r="B7" s="55">
        <f>'Final Summary'!M7</f>
        <v>77.1037182</v>
      </c>
      <c r="C7" s="55">
        <f>'Final Summary'!N7</f>
        <v>5.46245543</v>
      </c>
      <c r="D7" s="55">
        <f>'Physical Tests'!D7</f>
        <v>7.430419154</v>
      </c>
      <c r="E7" s="55">
        <f>'Physical Tests'!G7</f>
        <v>15.76272403</v>
      </c>
      <c r="F7" s="55">
        <f>'Final Summary'!K7</f>
        <v>13.57527243</v>
      </c>
      <c r="G7" s="55">
        <f>'Final Summary'!I7</f>
        <v>29.86</v>
      </c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ht="15.0" customHeight="1">
      <c r="A8" s="5" t="s">
        <v>28</v>
      </c>
      <c r="B8" s="55">
        <f>'Final Summary'!M8</f>
        <v>104.9575995</v>
      </c>
      <c r="C8" s="55">
        <f>'Final Summary'!N8</f>
        <v>17.95682185</v>
      </c>
      <c r="D8" s="55">
        <f>'Physical Tests'!D8</f>
        <v>5.962021177</v>
      </c>
      <c r="E8" s="55">
        <f>'Physical Tests'!G8</f>
        <v>4.753973389</v>
      </c>
      <c r="F8" s="55">
        <f>'Final Summary'!K8</f>
        <v>14.1462704</v>
      </c>
      <c r="G8" s="55">
        <f>'Final Summary'!I8</f>
        <v>41.66</v>
      </c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ht="15.0" customHeight="1">
      <c r="A9" s="5" t="s">
        <v>31</v>
      </c>
      <c r="B9" s="55">
        <f>'Final Summary'!M9</f>
        <v>85.89041096</v>
      </c>
      <c r="C9" s="55">
        <f>'Final Summary'!N9</f>
        <v>10.17003618</v>
      </c>
      <c r="D9" s="55">
        <f>'Physical Tests'!D9</f>
        <v>7.705804803</v>
      </c>
      <c r="E9" s="55">
        <f>'Physical Tests'!G9</f>
        <v>5.524812019</v>
      </c>
      <c r="F9" s="55">
        <f>'Final Summary'!K9</f>
        <v>48.30093421</v>
      </c>
      <c r="G9" s="55">
        <f>'Final Summary'!I9</f>
        <v>20.8</v>
      </c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ht="15.0" customHeight="1">
      <c r="A10" s="5"/>
      <c r="B10" s="5"/>
      <c r="C10" s="5"/>
      <c r="D10" s="5"/>
      <c r="E10" s="5"/>
      <c r="F10" s="5"/>
      <c r="G10" s="5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ht="15.0" customHeight="1">
      <c r="A11" s="5"/>
      <c r="B11" s="5"/>
      <c r="C11" s="5"/>
      <c r="D11" s="5"/>
      <c r="E11" s="5"/>
      <c r="F11" s="5"/>
      <c r="G11" s="5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ht="15.0" customHeight="1">
      <c r="A12" s="5"/>
      <c r="B12" s="5"/>
      <c r="C12" s="5"/>
      <c r="D12" s="5"/>
      <c r="E12" s="5"/>
      <c r="F12" s="5"/>
      <c r="G12" s="5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ht="15.0" customHeight="1">
      <c r="A13" s="52" t="s">
        <v>169</v>
      </c>
      <c r="B13" s="52" t="s">
        <v>20</v>
      </c>
      <c r="C13" s="52" t="s">
        <v>22</v>
      </c>
      <c r="D13" s="52" t="s">
        <v>25</v>
      </c>
      <c r="E13" s="52" t="s">
        <v>26</v>
      </c>
      <c r="F13" s="52" t="s">
        <v>28</v>
      </c>
      <c r="G13" s="52" t="s">
        <v>31</v>
      </c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ht="15.0" customHeight="1">
      <c r="A14" s="5">
        <f>Dissolution!A31</f>
        <v>0</v>
      </c>
      <c r="B14" s="55">
        <f>Dissolution!B31</f>
        <v>0</v>
      </c>
      <c r="C14" s="55">
        <f>Dissolution!C31</f>
        <v>0</v>
      </c>
      <c r="D14" s="55">
        <f>Dissolution!D31</f>
        <v>0</v>
      </c>
      <c r="E14" s="55">
        <f>Dissolution!E31</f>
        <v>0</v>
      </c>
      <c r="F14" s="55">
        <f>Dissolution!F31</f>
        <v>0</v>
      </c>
      <c r="G14" s="55">
        <f>Dissolution!G31</f>
        <v>0</v>
      </c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ht="15.0" customHeight="1">
      <c r="A15" s="5">
        <f>Dissolution!A32</f>
        <v>45</v>
      </c>
      <c r="B15" s="55">
        <f>Dissolution!B32</f>
        <v>23.69177651</v>
      </c>
      <c r="C15" s="55">
        <f>Dissolution!C32</f>
        <v>4.252351527</v>
      </c>
      <c r="D15" s="55">
        <f>Dissolution!D32</f>
        <v>2.697197528</v>
      </c>
      <c r="E15" s="55">
        <f>Dissolution!E32</f>
        <v>1.530832029</v>
      </c>
      <c r="F15" s="55">
        <f>Dissolution!F32</f>
        <v>6.196294026</v>
      </c>
      <c r="G15" s="55">
        <f>Dissolution!G32</f>
        <v>3.280380278</v>
      </c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ht="15.0" customHeight="1">
      <c r="A16" s="5">
        <f>Dissolution!A33</f>
        <v>60</v>
      </c>
      <c r="B16" s="55">
        <f>Dissolution!B33</f>
        <v>26.1034801</v>
      </c>
      <c r="C16" s="55">
        <f>Dissolution!C33</f>
        <v>6.210468531</v>
      </c>
      <c r="D16" s="55">
        <f>Dissolution!D33</f>
        <v>4.066947936</v>
      </c>
      <c r="E16" s="55">
        <f>Dissolution!E33</f>
        <v>2.896694552</v>
      </c>
      <c r="F16" s="55">
        <f>Dissolution!F33</f>
        <v>6.605736839</v>
      </c>
      <c r="G16" s="55">
        <f>Dissolution!G33</f>
        <v>6.498820001</v>
      </c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ht="15.0" customHeight="1">
      <c r="A17" s="5">
        <f>Dissolution!A34</f>
        <v>90</v>
      </c>
      <c r="B17" s="55">
        <f>Dissolution!B34</f>
        <v>26.77341121</v>
      </c>
      <c r="C17" s="55">
        <f>Dissolution!C34</f>
        <v>7.203094093</v>
      </c>
      <c r="D17" s="55">
        <f>Dissolution!D34</f>
        <v>4.858051459</v>
      </c>
      <c r="E17" s="55">
        <f>Dissolution!E34</f>
        <v>3.87830444</v>
      </c>
      <c r="F17" s="55">
        <f>Dissolution!F34</f>
        <v>7.794052613</v>
      </c>
      <c r="G17" s="55">
        <f>Dissolution!G34</f>
        <v>7.492417535</v>
      </c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ht="15.0" customHeight="1">
      <c r="A18" s="5">
        <f>Dissolution!A35</f>
        <v>120</v>
      </c>
      <c r="B18" s="55">
        <f>Dissolution!B35</f>
        <v>27.93127188</v>
      </c>
      <c r="C18" s="55">
        <f>Dissolution!C35</f>
        <v>7.81017106</v>
      </c>
      <c r="D18" s="55">
        <f>Dissolution!D35</f>
        <v>5.068564157</v>
      </c>
      <c r="E18" s="55">
        <f>Dissolution!E35</f>
        <v>4.863154233</v>
      </c>
      <c r="F18" s="55">
        <f>Dissolution!F35</f>
        <v>8.597467772</v>
      </c>
      <c r="G18" s="55">
        <f>Dissolution!G35</f>
        <v>8.586452098</v>
      </c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ht="15.0" customHeight="1">
      <c r="A19" s="5">
        <f>Dissolution!A36</f>
        <v>150</v>
      </c>
      <c r="B19" s="55">
        <f>Dissolution!B36</f>
        <v>30.8422447</v>
      </c>
      <c r="C19" s="55">
        <f>Dissolution!C36</f>
        <v>16.00056771</v>
      </c>
      <c r="D19" s="55">
        <f>Dissolution!D36</f>
        <v>13.63867758</v>
      </c>
      <c r="E19" s="55">
        <f>Dissolution!E36</f>
        <v>5.46245543</v>
      </c>
      <c r="F19" s="55">
        <f>Dissolution!F36</f>
        <v>17.95682185</v>
      </c>
      <c r="G19" s="55">
        <f>Dissolution!G36</f>
        <v>10.17003618</v>
      </c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ht="15.75" customHeight="1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ht="15.75" customHeight="1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ht="15.75" customHeight="1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ht="15.75" customHeight="1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ht="15.75" customHeight="1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ht="15.75" customHeight="1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ht="15.75" customHeight="1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ht="15.75" customHeight="1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ht="15.75" customHeight="1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ht="15.7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ht="15.75" customHeight="1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ht="15.7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ht="15.75" customHeight="1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ht="15.75" customHeight="1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ht="15.7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ht="15.7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ht="15.75" customHeight="1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ht="15.75" customHeight="1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ht="15.75" customHeight="1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ht="15.75" customHeight="1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ht="15.75" customHeight="1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ht="15.75" customHeight="1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ht="15.7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ht="15.75" customHeight="1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ht="15.75" customHeight="1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ht="15.75" customHeight="1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ht="15.75" customHeight="1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ht="15.75" customHeight="1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ht="15.75" customHeight="1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ht="15.75" customHeight="1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ht="15.75" customHeight="1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ht="15.75" customHeight="1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ht="15.75" customHeight="1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ht="15.75" customHeight="1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ht="15.75" customHeight="1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ht="15.75" customHeight="1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ht="15.75" customHeight="1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ht="15.75" customHeight="1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ht="15.75" customHeight="1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ht="15.75" customHeight="1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ht="15.75" customHeight="1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ht="15.7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ht="15.75" customHeight="1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ht="15.75" customHeight="1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ht="15.75" customHeight="1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ht="15.7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ht="15.75" customHeight="1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ht="15.75" customHeight="1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ht="15.75" customHeight="1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ht="15.75" customHeight="1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ht="15.75" customHeight="1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ht="15.75" customHeight="1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ht="15.7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ht="15.75" customHeight="1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ht="15.75" customHeight="1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ht="15.75" customHeight="1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ht="15.75" customHeight="1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ht="15.75" customHeight="1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ht="15.75" customHeight="1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ht="15.75" customHeight="1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ht="15.75" customHeight="1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ht="15.75" customHeight="1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ht="15.75" customHeight="1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ht="15.75" customHeight="1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ht="15.75" customHeight="1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ht="15.75" customHeight="1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ht="15.75" customHeight="1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ht="15.75" customHeight="1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ht="15.75" customHeight="1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ht="15.75" customHeight="1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ht="15.75" customHeight="1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ht="15.7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ht="15.75" customHeight="1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ht="15.75" customHeight="1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ht="15.75" customHeight="1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ht="15.7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ht="15.75" customHeight="1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ht="15.75" customHeight="1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ht="15.75" customHeight="1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ht="15.75" customHeight="1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ht="15.75" customHeight="1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ht="15.75" customHeight="1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ht="15.7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ht="15.75" customHeight="1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ht="15.75" customHeight="1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ht="15.75" customHeight="1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ht="15.75" customHeight="1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ht="15.75" customHeight="1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ht="15.75" customHeight="1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ht="15.75" customHeight="1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ht="15.75" customHeight="1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ht="15.75" customHeight="1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ht="15.75" customHeight="1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ht="15.75" customHeight="1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ht="15.75" customHeight="1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ht="15.75" customHeight="1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ht="15.75" customHeight="1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ht="15.75" customHeight="1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ht="15.75" customHeight="1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ht="15.75" customHeight="1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ht="15.75" customHeight="1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ht="15.75" customHeight="1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ht="15.75" customHeight="1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ht="15.75" customHeight="1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ht="15.75" customHeight="1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ht="15.75" customHeight="1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ht="15.75" customHeight="1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ht="15.75" customHeight="1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ht="15.75" customHeight="1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ht="15.75" customHeight="1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ht="15.75" customHeight="1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ht="15.75" customHeight="1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ht="15.75" customHeight="1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ht="15.75" customHeight="1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ht="15.75" customHeight="1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ht="15.75" customHeight="1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ht="15.75" customHeight="1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ht="15.75" customHeight="1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ht="15.75" customHeight="1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ht="15.75" customHeight="1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ht="15.75" customHeight="1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ht="15.75" customHeight="1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ht="15.75" customHeight="1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ht="15.75" customHeight="1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ht="15.75" customHeight="1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ht="15.75" customHeight="1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ht="15.75" customHeight="1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ht="15.75" customHeight="1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ht="15.75" customHeight="1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ht="15.75" customHeight="1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ht="15.75" customHeight="1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ht="15.75" customHeight="1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ht="15.75" customHeight="1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ht="15.75" customHeight="1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ht="15.75" customHeight="1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ht="15.75" customHeight="1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ht="15.75" customHeight="1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ht="15.75" customHeight="1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ht="15.75" customHeight="1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ht="15.75" customHeight="1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ht="15.75" customHeight="1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ht="15.75" customHeight="1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ht="15.75" customHeight="1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ht="15.75" customHeight="1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ht="15.75" customHeight="1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ht="15.75" customHeight="1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ht="15.75" customHeight="1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ht="15.75" customHeight="1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ht="15.75" customHeight="1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ht="15.75" customHeight="1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ht="15.75" customHeight="1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ht="15.75" customHeight="1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ht="15.75" customHeight="1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ht="15.75" customHeight="1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ht="15.75" customHeight="1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ht="15.75" customHeight="1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ht="15.75" customHeight="1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ht="15.75" customHeight="1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ht="15.75" customHeight="1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ht="15.75" customHeight="1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ht="15.75" customHeight="1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ht="15.75" customHeight="1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ht="15.75" customHeight="1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ht="15.75" customHeight="1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ht="15.75" customHeight="1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ht="15.75" customHeight="1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ht="15.75" customHeight="1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ht="15.75" customHeight="1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ht="15.75" customHeight="1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ht="15.75" customHeight="1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ht="15.75" customHeight="1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ht="15.75" customHeight="1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ht="15.75" customHeight="1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ht="15.75" customHeight="1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ht="15.75" customHeight="1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ht="15.75" customHeight="1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ht="15.75" customHeight="1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ht="15.75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ht="15.75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ht="15.75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ht="15.75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ht="15.75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ht="15.75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ht="15.75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ht="15.75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ht="15.75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ht="15.75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ht="15.75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ht="15.75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ht="15.75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ht="15.75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ht="15.75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ht="15.75" customHeight="1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ht="15.75" customHeight="1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ht="15.75" customHeight="1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ht="15.75" customHeight="1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ht="15.75" customHeight="1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ht="15.75" customHeight="1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ht="15.75" customHeight="1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ht="15.75" customHeight="1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printOptions/>
  <pageMargins bottom="0.75" footer="0.0" header="0.0" left="0.7" right="0.7" top="0.75"/>
  <pageSetup orientation="landscape"/>
  <drawing r:id="rId1"/>
</worksheet>
</file>